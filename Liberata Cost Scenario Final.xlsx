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5180" activeTab="2"/>
  </bookViews>
  <sheets>
    <sheet name="0. Overview &amp; Table of Contents" sheetId="15" r:id="rId1"/>
    <sheet name="1. Instructions &amp; Definitions" sheetId="74" r:id="rId2"/>
    <sheet name="2. Control Panel" sheetId="75" r:id="rId3"/>
    <sheet name="3. Market Sizing Summary" sheetId="80" r:id="rId4"/>
    <sheet name="3.1 Market Sizing Breakdown" sheetId="81" r:id="rId5"/>
    <sheet name="4. Financial Projection Summary" sheetId="77" r:id="rId6"/>
    <sheet name="4.1 Revenue &amp; Cost Breakdown" sheetId="79" r:id="rId7"/>
    <sheet name="Formatting (IGNORE) --&gt;" sheetId="73" state="hidden" r:id="rId8"/>
    <sheet name="Rev_L1 Drop Down" sheetId="60" state="hidden" r:id="rId9"/>
    <sheet name="Costs_L1 Drop Down" sheetId="61" state="hidden" r:id="rId10"/>
    <sheet name="Scenario Planning_Drop Down" sheetId="47" state="hidden" r:id="rId11"/>
  </sheets>
  <definedNames>
    <definedName name="add_5">#REF!</definedName>
    <definedName name="Adv_Strategic_Pillars">#REF!</definedName>
    <definedName name="Advantages">#REF!</definedName>
    <definedName name="Alignment_With_Key_Nike_Objectives__Next_Strategic_Pillars">#REF!</definedName>
    <definedName name="Alignment_With_Key_Nike_Objectives_Next__Strategic_Pillars">#REF!</definedName>
    <definedName name="Alignment_With_Next__Strategic_Pillars">#REF!</definedName>
    <definedName name="AlignmentWithNext_StrategicPillars">#REF!</definedName>
    <definedName name="Capital_Expenditure">#REF!</definedName>
    <definedName name="Capital_Expenditures">#REF!</definedName>
    <definedName name="Cost_of_Goods_Sold">#REF!</definedName>
    <definedName name="Costs">'Costs_L1 Drop Down'!$A$2:$A$6</definedName>
    <definedName name="Date">#REF!</definedName>
    <definedName name="Direct">#REF!</definedName>
    <definedName name="Direct___Indirect">#REF!</definedName>
    <definedName name="Engagement">#REF!</definedName>
    <definedName name="Expenses">#REF!</definedName>
    <definedName name="Increase_in_Average_Transaction_Value">#REF!</definedName>
    <definedName name="Increase_in_Conversion">#REF!</definedName>
    <definedName name="Increase_in_Foot_Traffic">#REF!</definedName>
    <definedName name="Interest">#REF!</definedName>
    <definedName name="Name">#REF!</definedName>
    <definedName name="number">#REF!</definedName>
    <definedName name="Operating_Expenses">#REF!</definedName>
    <definedName name="Revenue">'Rev_L1 Drop Down'!$A$2:$A$4</definedName>
    <definedName name="Revenue_Uplift">#REF!</definedName>
    <definedName name="Risks">#REF!</definedName>
    <definedName name="Scenario_Toggle">'Scenario Planning_Drop Down'!$A$2:$A$4</definedName>
    <definedName name="Scenario_Toggles">'Scenario Planning_Drop Down'!$A$2:$A$4</definedName>
    <definedName name="Strategic_Pillars">#REF!</definedName>
    <definedName name="Sub_Levers">#REF!</definedName>
    <definedName name="Taxes">#REF!</definedName>
    <definedName name="Timeline">#REF!</definedName>
    <definedName name="Transition">#REF!</definedName>
    <definedName name="Transition_Scaling">#REF!</definedName>
  </definedNames>
  <calcPr calcId="144525"/>
</workbook>
</file>

<file path=xl/sharedStrings.xml><?xml version="1.0" encoding="utf-8"?>
<sst xmlns="http://schemas.openxmlformats.org/spreadsheetml/2006/main" count="565" uniqueCount="388">
  <si>
    <t>Liberata: Market Sizing and Financial Projections</t>
  </si>
  <si>
    <r>
      <rPr>
        <b/>
        <i/>
        <sz val="14"/>
        <color theme="1"/>
        <rFont val="Calibri"/>
        <charset val="134"/>
      </rPr>
      <t>1. Table of Contents</t>
    </r>
    <r>
      <rPr>
        <i/>
        <sz val="14"/>
        <color theme="1"/>
        <rFont val="Calibri"/>
        <charset val="134"/>
      </rPr>
      <t xml:space="preserve"> breaks down how the Excel file is laid out</t>
    </r>
  </si>
  <si>
    <t>1. Table of Contents:</t>
  </si>
  <si>
    <t>Section</t>
  </si>
  <si>
    <t>Index</t>
  </si>
  <si>
    <t>Description</t>
  </si>
  <si>
    <t>Instructions &amp; Definitions</t>
  </si>
  <si>
    <t>Instructions for how to view and navigate the file in addition to explaining how to adjust inputs and assumptions.</t>
  </si>
  <si>
    <t>Control Panel</t>
  </si>
  <si>
    <t>Provides inputs and assumptions used across the market sizing and financial projections, which can be modified and adjusted, per 1. Instructions &amp; Definitions</t>
  </si>
  <si>
    <t>Market Sizing Summary</t>
  </si>
  <si>
    <t>Provides a high level overview of Total Addressable Market, Serviceable Addressable Market, and Serviceable Obtainable Market across relevant sectors</t>
  </si>
  <si>
    <t>Market Sizing Calculations</t>
  </si>
  <si>
    <t>Provides details on methodologies and calculations for market sizing across sectors</t>
  </si>
  <si>
    <t>Revenue Model Summary</t>
  </si>
  <si>
    <t>Provides a high level overview of revenue and cost projections for years 1-10</t>
  </si>
  <si>
    <t>Revenue &amp; Cost Breakdown</t>
  </si>
  <si>
    <t>Provides a deeper breakdown of estimates YoY of revenues and costs</t>
  </si>
  <si>
    <t>Market Sizing and Finanical Projections: Instructions &amp; Definitions</t>
  </si>
  <si>
    <r>
      <rPr>
        <b/>
        <i/>
        <sz val="14"/>
        <color theme="1"/>
        <rFont val="Calibri"/>
        <charset val="134"/>
      </rPr>
      <t>1. To View &amp; Navigate the File</t>
    </r>
    <r>
      <rPr>
        <i/>
        <sz val="14"/>
        <color theme="1"/>
        <rFont val="Calibri"/>
        <charset val="134"/>
      </rPr>
      <t xml:space="preserve"> The order in which the viewer should click through the file</t>
    </r>
  </si>
  <si>
    <r>
      <rPr>
        <b/>
        <i/>
        <sz val="14"/>
        <color theme="1"/>
        <rFont val="Calibri"/>
        <charset val="134"/>
      </rPr>
      <t>2. To Adjust Inputs and Assumptions</t>
    </r>
    <r>
      <rPr>
        <i/>
        <sz val="14"/>
        <color theme="1"/>
        <rFont val="Calibri"/>
        <charset val="134"/>
      </rPr>
      <t xml:space="preserve"> Description on how the viewer can adjust the numbers/figures</t>
    </r>
  </si>
  <si>
    <r>
      <rPr>
        <b/>
        <i/>
        <sz val="14"/>
        <color theme="1"/>
        <rFont val="Calibri"/>
        <charset val="134"/>
      </rPr>
      <t>3. Important Definitions/Descriptions</t>
    </r>
    <r>
      <rPr>
        <i/>
        <sz val="14"/>
        <color theme="1"/>
        <rFont val="Calibri"/>
        <charset val="134"/>
      </rPr>
      <t xml:space="preserve"> Explanations on the meaning/importance of various terms/figures used throughout the file</t>
    </r>
  </si>
  <si>
    <t>1.To View &amp; Navigate the File:</t>
  </si>
  <si>
    <r>
      <rPr>
        <sz val="11"/>
        <color theme="1"/>
        <rFont val="Calibri"/>
        <charset val="134"/>
      </rPr>
      <t xml:space="preserve">1. After reviewing </t>
    </r>
    <r>
      <rPr>
        <i/>
        <sz val="11"/>
        <color theme="1"/>
        <rFont val="Calibri"/>
        <charset val="134"/>
      </rPr>
      <t>1.0 Overview &amp; Table of Contents</t>
    </r>
    <r>
      <rPr>
        <sz val="11"/>
        <color theme="1"/>
        <rFont val="Calibri"/>
        <charset val="134"/>
      </rPr>
      <t>, review this sheet to understand how to navigate the file</t>
    </r>
  </si>
  <si>
    <r>
      <rPr>
        <sz val="11"/>
        <color theme="1"/>
        <rFont val="Calibri"/>
        <charset val="134"/>
      </rPr>
      <t xml:space="preserve">2. To adjust inputs to both the market sizing and financial projections, proceed to </t>
    </r>
    <r>
      <rPr>
        <i/>
        <sz val="11"/>
        <color theme="1"/>
        <rFont val="Calibri"/>
        <charset val="134"/>
      </rPr>
      <t>2. Control Panel</t>
    </r>
    <r>
      <rPr>
        <sz val="11"/>
        <color theme="1"/>
        <rFont val="Calibri"/>
        <charset val="134"/>
      </rPr>
      <t xml:space="preserve"> to make adjustments to assumptions</t>
    </r>
  </si>
  <si>
    <r>
      <rPr>
        <sz val="11"/>
        <color theme="1"/>
        <rFont val="Calibri"/>
        <charset val="134"/>
      </rPr>
      <t>2. Proceed to 3</t>
    </r>
    <r>
      <rPr>
        <i/>
        <sz val="11"/>
        <color theme="1"/>
        <rFont val="Calibri"/>
        <charset val="134"/>
      </rPr>
      <t xml:space="preserve">. Market Sizing Summary </t>
    </r>
    <r>
      <rPr>
        <sz val="11"/>
        <color theme="1"/>
        <rFont val="Calibri"/>
        <charset val="134"/>
      </rPr>
      <t>and</t>
    </r>
    <r>
      <rPr>
        <i/>
        <sz val="11"/>
        <color theme="1"/>
        <rFont val="Calibri"/>
        <charset val="134"/>
      </rPr>
      <t xml:space="preserve"> 4. Financial Projection Summary </t>
    </r>
    <r>
      <rPr>
        <sz val="11"/>
        <color theme="1"/>
        <rFont val="Calibri"/>
        <charset val="134"/>
      </rPr>
      <t>to see the high-level overview on the modeling for Liberata</t>
    </r>
  </si>
  <si>
    <r>
      <rPr>
        <sz val="11"/>
        <color theme="1"/>
        <rFont val="Calibri"/>
        <charset val="134"/>
      </rPr>
      <t>3. Continue to 3</t>
    </r>
    <r>
      <rPr>
        <i/>
        <sz val="11"/>
        <color theme="1"/>
        <rFont val="Calibri"/>
        <charset val="134"/>
      </rPr>
      <t>.1 Market Sizing Breakdown</t>
    </r>
    <r>
      <rPr>
        <sz val="11"/>
        <color theme="1"/>
        <rFont val="Calibri"/>
        <charset val="134"/>
      </rPr>
      <t xml:space="preserve"> to understand specific methodologies used to calculate TAM, SAM, and SOM across relevant markets</t>
    </r>
  </si>
  <si>
    <r>
      <rPr>
        <sz val="11"/>
        <color theme="1"/>
        <rFont val="Calibri"/>
        <charset val="134"/>
      </rPr>
      <t>4. Proceed to the 4</t>
    </r>
    <r>
      <rPr>
        <i/>
        <sz val="11"/>
        <color theme="1"/>
        <rFont val="Calibri"/>
        <charset val="134"/>
      </rPr>
      <t>.1 Revenue &amp; Cost Breakdown</t>
    </r>
    <r>
      <rPr>
        <sz val="11"/>
        <color theme="1"/>
        <rFont val="Calibri"/>
        <charset val="134"/>
      </rPr>
      <t xml:space="preserve"> to understand initial revenue and cost projections for years 1-10</t>
    </r>
  </si>
  <si>
    <t>2. To Adjust Inputs and Assumptions:</t>
  </si>
  <si>
    <t>1. Whenever a blue box saying "Dropdown adjustment" appears, click on the dropdown and choose one of the values to affect the outputs of the sheet</t>
  </si>
  <si>
    <r>
      <rPr>
        <sz val="11"/>
        <color theme="1"/>
        <rFont val="Calibri"/>
        <charset val="134"/>
      </rPr>
      <t xml:space="preserve">2. General Rule of Thumb: </t>
    </r>
    <r>
      <rPr>
        <b/>
        <sz val="11"/>
        <color rgb="FF070299"/>
        <rFont val="Calibri"/>
        <charset val="134"/>
      </rPr>
      <t>All numbers in blue</t>
    </r>
    <r>
      <rPr>
        <sz val="11"/>
        <color theme="1"/>
        <rFont val="Calibri"/>
        <charset val="134"/>
      </rPr>
      <t xml:space="preserve"> in </t>
    </r>
    <r>
      <rPr>
        <i/>
        <sz val="11"/>
        <color theme="1"/>
        <rFont val="Calibri"/>
        <charset val="134"/>
      </rPr>
      <t>Control Panel</t>
    </r>
    <r>
      <rPr>
        <sz val="11"/>
        <color theme="1"/>
        <rFont val="Calibri"/>
        <charset val="134"/>
      </rPr>
      <t xml:space="preserve"> are assumptions that can be changed as deemed fit - without breaking the model</t>
    </r>
  </si>
  <si>
    <t>3. Important Definitions/Descriptions:</t>
  </si>
  <si>
    <t>Word/Value</t>
  </si>
  <si>
    <t>Sections Included</t>
  </si>
  <si>
    <t>Definition</t>
  </si>
  <si>
    <t>Low</t>
  </si>
  <si>
    <t>4.0 Financial Projection Summary</t>
  </si>
  <si>
    <t>Provides a rough sensitivity analysis on revenues and costs, providing a range for expectations</t>
  </si>
  <si>
    <t>Moderate</t>
  </si>
  <si>
    <t>High</t>
  </si>
  <si>
    <t>R1/R2/R3 University</t>
  </si>
  <si>
    <t>2.0 Control Panel, 4.1 Revenue &amp; Cost Breakdown</t>
  </si>
  <si>
    <t>The Carnegie Classification system categorizes U.S. universities based on research activity, degree offerings, and institutional characteristics—such as R1 (very high research), R2 (high research), and R3 (moderate research)—while non-doctoral U.S. universities and global institutions not covered by this framework are classified separately</t>
  </si>
  <si>
    <t>Non-Doctoral U.S. University</t>
  </si>
  <si>
    <t>Other Global Universities</t>
  </si>
  <si>
    <t>Phase 1 - Seed Development</t>
  </si>
  <si>
    <t>4.1 Revenue &amp; Cost Breakdown</t>
  </si>
  <si>
    <t>Phase 1 – Seed Development: Build and launch the core metrics platform with a small team; Phase 2 – Growth: scale the product, marketing, and grow/consider additional AI capabilities; Phase 3 – Expansion: mature operations, expand globally</t>
  </si>
  <si>
    <t>Phase 2 - Growth</t>
  </si>
  <si>
    <t>Phase 3 - Expansion</t>
  </si>
  <si>
    <t>Market Sizing and Financial Projections: Control Panel</t>
  </si>
  <si>
    <r>
      <rPr>
        <b/>
        <i/>
        <sz val="14"/>
        <color theme="1"/>
        <rFont val="Calibri"/>
        <charset val="134"/>
      </rPr>
      <t>1. Control Panel 1</t>
    </r>
    <r>
      <rPr>
        <i/>
        <sz val="14"/>
        <color theme="1"/>
        <rFont val="Calibri"/>
        <charset val="134"/>
      </rPr>
      <t xml:space="preserve"> Provides inputs and adjustable assumptions included in the market sizing</t>
    </r>
  </si>
  <si>
    <r>
      <rPr>
        <b/>
        <i/>
        <sz val="14"/>
        <color theme="1"/>
        <rFont val="Calibri"/>
        <charset val="134"/>
      </rPr>
      <t xml:space="preserve">2. Control Panel 2 </t>
    </r>
    <r>
      <rPr>
        <i/>
        <sz val="14"/>
        <color theme="1"/>
        <rFont val="Calibri"/>
        <charset val="134"/>
      </rPr>
      <t>Provides inputs and adjustable assumptions included in the revenue and cost model</t>
    </r>
  </si>
  <si>
    <t>Control Panel 1: Market Sizing</t>
  </si>
  <si>
    <t>Control Panel 2: Financial Projetions</t>
  </si>
  <si>
    <t>Modify/adjust figures in bolded blue</t>
  </si>
  <si>
    <t>Category</t>
  </si>
  <si>
    <t>Metric Description</t>
  </si>
  <si>
    <t>Figure</t>
  </si>
  <si>
    <t>Used in the market sizing? Y/N</t>
  </si>
  <si>
    <t>Source</t>
  </si>
  <si>
    <t>User</t>
  </si>
  <si>
    <t>Explanation/Justification/Source</t>
  </si>
  <si>
    <t>SCENARIO 3--- Cost</t>
  </si>
  <si>
    <t>Academic Publishing</t>
  </si>
  <si>
    <t>$ size of the entire global academic publishing market</t>
  </si>
  <si>
    <t>Yes</t>
  </si>
  <si>
    <t>https://marketintelo.com/report/academic-publishing-market</t>
  </si>
  <si>
    <t>Revenue</t>
  </si>
  <si>
    <t>General - revenues</t>
  </si>
  <si>
    <t>% growth YoY in users (all users except universities)</t>
  </si>
  <si>
    <t>ASSUMPTON</t>
  </si>
  <si>
    <t>Reduces cost growth to test whether improved operational efficiency can enhance profitability and achieve earlier breakeven without increasing revenue.</t>
  </si>
  <si>
    <t>entire academic publishing global growht rate CAGR</t>
  </si>
  <si>
    <t>No</t>
  </si>
  <si>
    <t>% growth YoY in price (i.e.., user spend for non-universities) on subscription in years 1-3</t>
  </si>
  <si>
    <t>ASSUMPTION</t>
  </si>
  <si>
    <t>% of the academic journal market Liberata can capture</t>
  </si>
  <si>
    <t>ASSUMPTION - capturing half of the market that the top 5 journals currently have (which is around 60%)</t>
  </si>
  <si>
    <t>% growth YoY in price (i.e.., user spend for non-universities) on subscription in years 4-10</t>
  </si>
  <si>
    <t>% of the academic publishing market that the top 5 journals make up (El Selvier, Springer Nature, Wiley, Taylor &amp; Francis, Sage)</t>
  </si>
  <si>
    <t>https://www.linkedin.com/pulse/hidden-fortune-academic-publishers-closer-look-industrys-kannan-cmxac/</t>
  </si>
  <si>
    <t>Sensitivity analysis - Low projections scenario</t>
  </si>
  <si>
    <t>Percent of journal revenues coming from corporate subscriptions</t>
  </si>
  <si>
    <t>https://firstmonday.org/ojs/index.php/fm/article/view/4370/3685</t>
  </si>
  <si>
    <t>Sensitivity analysis - Moderate projections scenario</t>
  </si>
  <si>
    <t>Percent of journal revenues coming from advertising</t>
  </si>
  <si>
    <t>Sensitivity analysis - High projections scenario</t>
  </si>
  <si>
    <t>Percent of journal revenues coming from membership and personal subscriptions</t>
  </si>
  <si>
    <t>Universities</t>
  </si>
  <si>
    <t>Number of universities in year 1 with a Liberata subscription</t>
  </si>
  <si>
    <t>ASSUMPTION - requires convincing a reasonable amount to try Liberata on free trial</t>
  </si>
  <si>
    <t>Percent of journal revenues coming from author side payments</t>
  </si>
  <si>
    <t>% of universities in years 1 and 2 with a free trial Liberata subscription</t>
  </si>
  <si>
    <t>Percent of journal revenues coming from university library subscriptions</t>
  </si>
  <si>
    <t>% of universities in years 3 and beyond with a free trial Liberata subscription</t>
  </si>
  <si>
    <t>Academic metrics</t>
  </si>
  <si>
    <t>Average annual spend for academic metrics/bibliometrics per university - R1</t>
  </si>
  <si>
    <t>ASSUMPTION - based on Han's insights about the cost of Clarivate and SCOPUS</t>
  </si>
  <si>
    <t>% growth YoY in universities with a Liberata subscription - year 2</t>
  </si>
  <si>
    <t>ASSUMPTION - Network effects will occur as more users join</t>
  </si>
  <si>
    <t>Average annual spend on academic metrics/bibliometrics per university - R2</t>
  </si>
  <si>
    <t>ASSUMPTION - take 40% of R1 spend</t>
  </si>
  <si>
    <t>% growth YoY in universities with a Liberata subscription - years 3-5</t>
  </si>
  <si>
    <t>ASSUMPTION - May be more challenging to secure many universities once payment is required and free trials end</t>
  </si>
  <si>
    <t>Average annual spend on academic metrics/bibliometrics per university - R3</t>
  </si>
  <si>
    <t>ASSUMPTION - take 20% of R1 spend</t>
  </si>
  <si>
    <t>% growth YoY in universities with a Liberata subscription - years 6-8</t>
  </si>
  <si>
    <t>Average annual spend for academic metrics/bibliometrics per university - other</t>
  </si>
  <si>
    <t>ASSUMPTION - take 5% of R1 spend</t>
  </si>
  <si>
    <t>% growth YoY in universities with a Liberata subscription - years 9-10</t>
  </si>
  <si>
    <t>ASSUMPTION - Growth will slow as the capturable universities are reached</t>
  </si>
  <si>
    <t>Average annual spend for academic metrics/bibliometrics per university - global</t>
  </si>
  <si>
    <t>Price of bundle offered to universities - free trial period</t>
  </si>
  <si>
    <t>Free trials for universities to show value of the platform</t>
  </si>
  <si>
    <t>% of universities paying for academic metrics/bibliometrics - R1</t>
  </si>
  <si>
    <t>Starting price - R1 universities</t>
  </si>
  <si>
    <t>Must price Liberata much less than current journal subscription amounts</t>
  </si>
  <si>
    <t>% of universities paying for academic metrics/bibliometrics - R2</t>
  </si>
  <si>
    <t>Starting price - R2 universities</t>
  </si>
  <si>
    <t>R2 university price is 90% of R1 university price</t>
  </si>
  <si>
    <t>% of universities paying for academic metrics/bibliometrics - R3</t>
  </si>
  <si>
    <t>Starting price - R3 universities</t>
  </si>
  <si>
    <t>R3 university price is 80% of R1 university price</t>
  </si>
  <si>
    <t>% of universities paying for academic metrics/bibliometrics - other</t>
  </si>
  <si>
    <t>Starting price - non-doctoral U.S. universities</t>
  </si>
  <si>
    <t>Other U.S. university prices are 70% of R1 university price</t>
  </si>
  <si>
    <t>% of universities paying for academic metrics/bibliometrics - global</t>
  </si>
  <si>
    <t>Starting price - other global universities</t>
  </si>
  <si>
    <t>Other global university prices are 60% of R1 university price</t>
  </si>
  <si>
    <t>total # R1 research universities</t>
  </si>
  <si>
    <t>https://carnegieclassifications.acenet.edu/institutions/?inst=&amp;research2025%5B%5D=1</t>
  </si>
  <si>
    <t>% growth YoY in price for universities (i.e., university spend) years 1-3</t>
  </si>
  <si>
    <t>Liberata needs to gain market share and show value before increasing prices</t>
  </si>
  <si>
    <t>total # R2 research universities</t>
  </si>
  <si>
    <t>https://carnegieclassifications.acenet.edu/institutions/?inst=&amp;research2025%5B%5D=2</t>
  </si>
  <si>
    <t>% growth YoY in price for universities (i.e., university spend) years 4-10</t>
  </si>
  <si>
    <t>Universities will be willing to pay more for Liberata as its value is shown and as network effects occur</t>
  </si>
  <si>
    <t>total # R3 research universities</t>
  </si>
  <si>
    <t>https://robertkelchen.com/2021/12/16/how-colleges-carnegie-classifications-have-changed-over-time-2/#:~:text=Every%20three%20years%2C%20Indiana%20University's%20Center%20on,doesn't%20hesitate%20to%20share%20their%20opinions%20about</t>
  </si>
  <si>
    <t>[DO NOT CHANGE HERE - CHANGE IN MARKET SIZING PANEL]</t>
  </si>
  <si>
    <t>total # other research producing universities in the US</t>
  </si>
  <si>
    <t>CALCULATION</t>
  </si>
  <si>
    <t>total # other research universities globally</t>
  </si>
  <si>
    <t>academic metrics growth rate</t>
  </si>
  <si>
    <t>Unknown</t>
  </si>
  <si>
    <t>AI Licensing for academic publishing</t>
  </si>
  <si>
    <t>AI Licensing for Academic Publishing</t>
  </si>
  <si>
    <t>https://www.grandviewresearch.com/industry-analysis/ai-datasets-licensing-academic-research-publishing-market-report</t>
  </si>
  <si>
    <t>AI Licensing for Academic Publishing growth rate CAGR</t>
  </si>
  <si>
    <t>Think Tanks/Non-profits</t>
  </si>
  <si>
    <t>Number of think tanks/non-profits in years 1-5 with a Liberata subscription</t>
  </si>
  <si>
    <t>ASSUMPTION - conservative estimation that the focus of BD efforts will be on universities for the first five years</t>
  </si>
  <si>
    <t>AI Training Dataset Share of entire AI licensing market</t>
  </si>
  <si>
    <t>Number of think tanks/non-profits in year 6 with a Liberata subscription</t>
  </si>
  <si>
    <t>ASSUMPTION - there are around 2 million non profits in the US</t>
  </si>
  <si>
    <t>North america share of revenue for AI licensing market</t>
  </si>
  <si>
    <t>Cost of bundle offered to think tanks/non-profits</t>
  </si>
  <si>
    <t>% of the market Liberata can capture</t>
  </si>
  <si>
    <t>Government Organizations</t>
  </si>
  <si>
    <t>Number of government orgs in years 1-5 with a Liberata subscription</t>
  </si>
  <si>
    <t>General</t>
  </si>
  <si>
    <t># of research producing instutitions - US based</t>
  </si>
  <si>
    <t>https://nces.ed.gov/programs/digest/d18/tables/dt18_317.40.asp</t>
  </si>
  <si>
    <t>Number of  government orgs in year  6 with a Liberata subscription</t>
  </si>
  <si>
    <t>United states share of research publications in 2020</t>
  </si>
  <si>
    <t>https://research-and-innovation.ec.europa.eu/system/files/2022-07/ec_rtd_srip-2022-report-chapter-6.pdf#:~:text=Figure%206.1%2D1:%20World%20share%20of%20scientific%20publications(1)%2C,(2)BRIS:%20Brazil%2C%20Russia%2C%20India%20and%20South%20Africa.</t>
  </si>
  <si>
    <t>Cost of bundle offered to government organizations</t>
  </si>
  <si>
    <t># of research producing instutitions - Non-US</t>
  </si>
  <si>
    <t>Corporations</t>
  </si>
  <si>
    <t>Number of corporations in years 1-5 with a Liberata subscription</t>
  </si>
  <si>
    <t># of research producing instutitions - Globally</t>
  </si>
  <si>
    <t>Number of  corporations in year 6 with a Liberata subscription</t>
  </si>
  <si>
    <t>EdTech</t>
  </si>
  <si>
    <t>Academic software market size</t>
  </si>
  <si>
    <t>https://www.globalinsightservices.com/reports/academic-software-market/</t>
  </si>
  <si>
    <t>Cost of bundle offered to corporations</t>
  </si>
  <si>
    <t>Academic software industry growth rate (CAGR)</t>
  </si>
  <si>
    <t>Publishing Organizations</t>
  </si>
  <si>
    <t>Number of publishing organizations in years 1-5 with a Liberata subscription</t>
  </si>
  <si>
    <t>Number of publishing organizations in year 6 with a Liberata subscription</t>
  </si>
  <si>
    <t>Cost of bundle offered to Publishing organizations</t>
  </si>
  <si>
    <t>Rankings Organizations</t>
  </si>
  <si>
    <t>Number of rankings organizations in years 1-5 with a Liberata subscription</t>
  </si>
  <si>
    <t>Number of rankings organizations in year 6 with a Liberata subscription</t>
  </si>
  <si>
    <t>Cost of bundle offered to rankings organizations</t>
  </si>
  <si>
    <t>Costs</t>
  </si>
  <si>
    <t>General - costs</t>
  </si>
  <si>
    <t>Annual SG&amp;A % cost increase</t>
  </si>
  <si>
    <r>
      <rPr>
        <b/>
        <i/>
        <sz val="11"/>
        <color theme="1"/>
        <rFont val="Calibri"/>
        <charset val="134"/>
      </rPr>
      <t xml:space="preserve">COST ADJUSTMENT — SG&amp;A cost growth: 20% </t>
    </r>
    <r>
      <rPr>
        <b/>
        <i/>
        <sz val="11"/>
        <color theme="1"/>
        <rFont val="宋体-简"/>
        <charset val="134"/>
      </rPr>
      <t>→</t>
    </r>
    <r>
      <rPr>
        <b/>
        <i/>
        <sz val="11"/>
        <color theme="1"/>
        <rFont val="Calibri"/>
        <charset val="134"/>
      </rPr>
      <t xml:space="preserve"> 12%:</t>
    </r>
    <r>
      <rPr>
        <i/>
        <sz val="11"/>
        <color theme="1"/>
        <rFont val="Calibri"/>
        <charset val="134"/>
      </rPr>
      <t xml:space="preserve"> SG&amp;A cost growth is reduced to reflect more disciplined overhead management and lean administrative scaling. Instead of expanding general and administrative functions in proportion to projected growth, the model assumes tighter cost control and improved operational efficiency. This lowers fixed overhead burden in early years without constraining core business activities.</t>
    </r>
  </si>
  <si>
    <t>Annual cloud infrastructure % cost increase</t>
  </si>
  <si>
    <r>
      <rPr>
        <b/>
        <sz val="11"/>
        <color theme="1"/>
        <rFont val="Calibri"/>
        <charset val="134"/>
      </rPr>
      <t xml:space="preserve">COST ADJUSTMENT — Cloud infrastructure cost growth: 15% </t>
    </r>
    <r>
      <rPr>
        <b/>
        <sz val="11"/>
        <color theme="1"/>
        <rFont val="宋体-简"/>
        <charset val="134"/>
      </rPr>
      <t>→</t>
    </r>
    <r>
      <rPr>
        <b/>
        <sz val="11"/>
        <color theme="1"/>
        <rFont val="Calibri"/>
        <charset val="134"/>
      </rPr>
      <t xml:space="preserve"> 10%: </t>
    </r>
    <r>
      <rPr>
        <sz val="11"/>
        <color theme="1"/>
        <rFont val="Calibri"/>
        <charset val="134"/>
      </rPr>
      <t>Cloud infrastructure cost growth is reduced to reflect improved technical efficiency and better resource utilization. The model assumes that infrastructure scaling benefits from optimization and economies of scale, allowing the platform to support growth without proportional increases in cloud spending.</t>
    </r>
  </si>
  <si>
    <t>Annual salary &amp; wages &amp; cost increase</t>
  </si>
  <si>
    <t>Annual marketing &amp; outreach % cost increase</t>
  </si>
  <si>
    <r>
      <rPr>
        <b/>
        <i/>
        <sz val="11"/>
        <color theme="1"/>
        <rFont val="Calibri"/>
        <charset val="134"/>
      </rPr>
      <t xml:space="preserve">COST ADJUSTMENT — Marketing &amp; outreach cost growth: 15% </t>
    </r>
    <r>
      <rPr>
        <b/>
        <i/>
        <sz val="11"/>
        <color theme="1"/>
        <rFont val="宋体-简"/>
        <charset val="134"/>
      </rPr>
      <t>→</t>
    </r>
    <r>
      <rPr>
        <b/>
        <i/>
        <sz val="11"/>
        <color theme="1"/>
        <rFont val="Calibri"/>
        <charset val="134"/>
      </rPr>
      <t xml:space="preserve"> 10%:</t>
    </r>
    <r>
      <rPr>
        <i/>
        <sz val="11"/>
        <color theme="1"/>
        <rFont val="Calibri"/>
        <charset val="134"/>
      </rPr>
      <t xml:space="preserve"> Marketing cost growth is reduced to reflect more targeted and efficient customer acquisition strategies. Instead of scaling outreach spend aggressively, the model assumes improved return on marketing investment through better segmentation, institutional targeting, and relationship-driven engagement.</t>
    </r>
  </si>
  <si>
    <t>Phase 1 costs</t>
  </si>
  <si>
    <t>Number of front end engineers hired</t>
  </si>
  <si>
    <t>Number of back end engineers hired</t>
  </si>
  <si>
    <r>
      <rPr>
        <b/>
        <i/>
        <sz val="11"/>
        <color theme="1"/>
        <rFont val="Calibri"/>
        <charset val="134"/>
      </rPr>
      <t xml:space="preserve">COST ADJUSTMENT — Back-end engineers hired: 6 </t>
    </r>
    <r>
      <rPr>
        <b/>
        <i/>
        <sz val="11"/>
        <color theme="1"/>
        <rFont val="宋体-简"/>
        <charset val="134"/>
      </rPr>
      <t>→</t>
    </r>
    <r>
      <rPr>
        <b/>
        <i/>
        <sz val="11"/>
        <color theme="1"/>
        <rFont val="Calibri"/>
        <charset val="134"/>
      </rPr>
      <t xml:space="preserve"> 4:</t>
    </r>
    <r>
      <rPr>
        <i/>
        <sz val="11"/>
        <color theme="1"/>
        <rFont val="Calibri"/>
        <charset val="134"/>
      </rPr>
      <t xml:space="preserve"> Back-end hiring is reduced to reflect a leaner initial engineering team and more efficient allocation of development resources. The model assumes that core platform functionality can be supported with a smaller team in early stages, with additional hiring delayed until demand is more certain.</t>
    </r>
  </si>
  <si>
    <t>Number of infrastructure/devops personnel hired</t>
  </si>
  <si>
    <t>Number of cybersecurity personnel hired</t>
  </si>
  <si>
    <t>Number of full stack engineers hired</t>
  </si>
  <si>
    <t>Number of technical managers hired</t>
  </si>
  <si>
    <t>Number of marketing and finance personnel hired</t>
  </si>
  <si>
    <r>
      <rPr>
        <b/>
        <i/>
        <sz val="11"/>
        <color theme="1"/>
        <rFont val="Calibri"/>
        <charset val="134"/>
      </rPr>
      <t xml:space="preserve">COST ADJUSTMENT — Marketing and finance personnel hired: 3 </t>
    </r>
    <r>
      <rPr>
        <b/>
        <i/>
        <sz val="11"/>
        <color theme="1"/>
        <rFont val="宋体-简"/>
        <charset val="134"/>
      </rPr>
      <t>→</t>
    </r>
    <r>
      <rPr>
        <b/>
        <i/>
        <sz val="11"/>
        <color theme="1"/>
        <rFont val="Calibri"/>
        <charset val="134"/>
      </rPr>
      <t xml:space="preserve"> 2:</t>
    </r>
    <r>
      <rPr>
        <i/>
        <sz val="11"/>
        <color theme="1"/>
        <rFont val="Calibri"/>
        <charset val="134"/>
      </rPr>
      <t xml:space="preserve"> Business-side headcount is reduced to reflect a lean go-to-market and operational structure in early stages. The model assumes that initial outreach and administrative functions can be managed by a smaller team, supported by more focused institutional targeting and founder-led engagement.</t>
    </r>
  </si>
  <si>
    <t>Number of executive team members</t>
  </si>
  <si>
    <t>Front end engineer annual cost</t>
  </si>
  <si>
    <t>Back engineer annual cost</t>
  </si>
  <si>
    <t>Infrastructure/Devops personnel annual cost</t>
  </si>
  <si>
    <t>Cybersecurity personnel annual cost</t>
  </si>
  <si>
    <t>Full stack engineer annual cost</t>
  </si>
  <si>
    <t>Technical manager annual cost</t>
  </si>
  <si>
    <t>Marketing personnel annual cost</t>
  </si>
  <si>
    <t>Executive team member annual cost</t>
  </si>
  <si>
    <t>ASSUMPTION - this may need to be adjusted as time goes on</t>
  </si>
  <si>
    <t>Cloud Infrastructure annual costs</t>
  </si>
  <si>
    <t>SG&amp;A annual costs</t>
  </si>
  <si>
    <t>Marketing &amp; outreach annual costs</t>
  </si>
  <si>
    <t>Phase 2 costs</t>
  </si>
  <si>
    <t>Additional data engineers hired</t>
  </si>
  <si>
    <r>
      <rPr>
        <b/>
        <i/>
        <sz val="11"/>
        <color theme="1"/>
        <rFont val="Calibri"/>
        <charset val="134"/>
      </rPr>
      <t xml:space="preserve">COST ADJUSTMENT — Additional data engineers (Phase 2): 5 </t>
    </r>
    <r>
      <rPr>
        <b/>
        <i/>
        <sz val="11"/>
        <color theme="1"/>
        <rFont val="宋体-简"/>
        <charset val="134"/>
      </rPr>
      <t>→</t>
    </r>
    <r>
      <rPr>
        <b/>
        <i/>
        <sz val="11"/>
        <color theme="1"/>
        <rFont val="Calibri"/>
        <charset val="134"/>
      </rPr>
      <t xml:space="preserve"> 3:</t>
    </r>
    <r>
      <rPr>
        <i/>
        <sz val="11"/>
        <color theme="1"/>
        <rFont val="Calibri"/>
        <charset val="134"/>
      </rPr>
      <t xml:space="preserve"> Phase 2 engineering expansion is scaled back to delay large increases in technical headcount. The model assumes that product development can continue with a smaller team while prioritizing core features, reducing early-stage salary costs and improving capital efficiency.</t>
    </r>
  </si>
  <si>
    <t>Data engineer annual cost</t>
  </si>
  <si>
    <t>CALCULATION - averaged cost of other engineers</t>
  </si>
  <si>
    <t>Marketing personnel annual % growth rate</t>
  </si>
  <si>
    <t>Other business functions personnel hired</t>
  </si>
  <si>
    <t>ASSUMPTION - includes accounting, finance, operations, etc</t>
  </si>
  <si>
    <r>
      <rPr>
        <b/>
        <i/>
        <sz val="11"/>
        <color theme="1"/>
        <rFont val="Calibri"/>
        <charset val="134"/>
      </rPr>
      <t xml:space="preserve">COST ADJUSTMENT — Other business personnel (Phase 2): 10 </t>
    </r>
    <r>
      <rPr>
        <b/>
        <i/>
        <sz val="11"/>
        <color theme="1"/>
        <rFont val="宋体-简"/>
        <charset val="134"/>
      </rPr>
      <t>→</t>
    </r>
    <r>
      <rPr>
        <b/>
        <i/>
        <sz val="11"/>
        <color theme="1"/>
        <rFont val="Calibri"/>
        <charset val="134"/>
      </rPr>
      <t xml:space="preserve"> 6:</t>
    </r>
    <r>
      <rPr>
        <i/>
        <sz val="11"/>
        <color theme="1"/>
        <rFont val="Calibri"/>
        <charset val="134"/>
      </rPr>
      <t xml:space="preserve"> Expansion of business functions such as operations and finance is moderated to reflect a more gradual organizational build-out. Hiring is aligned more closely with realized growth rather than projected scale, reducing unnecessary early-stage overhead.</t>
    </r>
  </si>
  <si>
    <t>Other business functions annual cost</t>
  </si>
  <si>
    <t>Other business functions annual % growth rate</t>
  </si>
  <si>
    <t>Leadership new annual cost (new annual cost after pay raise from Phase 1)</t>
  </si>
  <si>
    <t>Leadership new annual % growth rate</t>
  </si>
  <si>
    <t>AI training costs</t>
  </si>
  <si>
    <t>AI training annual % cost increase</t>
  </si>
  <si>
    <t>Phase 3 costs</t>
  </si>
  <si>
    <r>
      <rPr>
        <b/>
        <i/>
        <sz val="11"/>
        <color theme="1"/>
        <rFont val="Calibri"/>
        <charset val="134"/>
      </rPr>
      <t xml:space="preserve">COST ADJUSTMENT — Additional data engineers (Phase 3): 20 </t>
    </r>
    <r>
      <rPr>
        <b/>
        <i/>
        <sz val="11"/>
        <color theme="1"/>
        <rFont val="宋体-简"/>
        <charset val="134"/>
      </rPr>
      <t>→</t>
    </r>
    <r>
      <rPr>
        <b/>
        <i/>
        <sz val="11"/>
        <color theme="1"/>
        <rFont val="Calibri"/>
        <charset val="134"/>
      </rPr>
      <t xml:space="preserve"> 12:</t>
    </r>
    <r>
      <rPr>
        <i/>
        <sz val="11"/>
        <color theme="1"/>
        <rFont val="Calibri"/>
        <charset val="134"/>
      </rPr>
      <t xml:space="preserve"> Late-stage engineering expansion is reduced to reflect more efficient scaling of technical resources. The model assumes that improvements in tooling, infrastructure, and development processes allow the platform to support growth with a smaller incremental team, lowering long-term cost escalation.</t>
    </r>
  </si>
  <si>
    <t>Office and equipment costs</t>
  </si>
  <si>
    <r>
      <rPr>
        <b/>
        <i/>
        <sz val="14"/>
        <color theme="1"/>
        <rFont val="Calibri"/>
        <charset val="134"/>
      </rPr>
      <t>1. Market Sizing Summary</t>
    </r>
    <r>
      <rPr>
        <i/>
        <sz val="14"/>
        <color theme="1"/>
        <rFont val="Calibri"/>
        <charset val="134"/>
      </rPr>
      <t xml:space="preserve"> Summarized findings from 3.1 Market Sizing Breakdown</t>
    </r>
  </si>
  <si>
    <t>Market</t>
  </si>
  <si>
    <t>Industry Growth Rate (CAGR)</t>
  </si>
  <si>
    <t>TAM</t>
  </si>
  <si>
    <t>SAM</t>
  </si>
  <si>
    <t>SOM</t>
  </si>
  <si>
    <t>Academic Metrics</t>
  </si>
  <si>
    <t>AI Licensing</t>
  </si>
  <si>
    <t>TOTALS</t>
  </si>
  <si>
    <t>Note: Although not used in market sizing calculations, the industry CAGR for academic/educational software is 8.8%</t>
  </si>
  <si>
    <t>Market Sizing Breakdown</t>
  </si>
  <si>
    <r>
      <rPr>
        <b/>
        <i/>
        <sz val="14"/>
        <color theme="1"/>
        <rFont val="Calibri"/>
        <charset val="134"/>
      </rPr>
      <t xml:space="preserve">1. Assumptions </t>
    </r>
    <r>
      <rPr>
        <i/>
        <sz val="14"/>
        <color theme="1"/>
        <rFont val="Calibri"/>
        <charset val="134"/>
      </rPr>
      <t>Details key decision points affecting the model</t>
    </r>
  </si>
  <si>
    <r>
      <rPr>
        <b/>
        <i/>
        <sz val="14"/>
        <color theme="1"/>
        <rFont val="Calibri"/>
        <charset val="134"/>
      </rPr>
      <t xml:space="preserve">2. Market Sizing by Sector </t>
    </r>
    <r>
      <rPr>
        <i/>
        <sz val="14"/>
        <color theme="1"/>
        <rFont val="Calibri"/>
        <charset val="134"/>
      </rPr>
      <t>Breaks down market sizing for three relevant sectors</t>
    </r>
  </si>
  <si>
    <t>Assumptions</t>
  </si>
  <si>
    <t>Universities conducting more research are 1) spending more and 2) more likely to spend money on academic metrics</t>
  </si>
  <si>
    <t>Liberata's patent and ability to maintain superior metrics enables it to capture the entire academic metrics market</t>
  </si>
  <si>
    <t>Liberata will be able to capture roughly a tenth of the AI licensing for academic publishing market</t>
  </si>
  <si>
    <t>1. Academic Publishing</t>
  </si>
  <si>
    <t>Level</t>
  </si>
  <si>
    <t>Method Description</t>
  </si>
  <si>
    <t>Total Figure</t>
  </si>
  <si>
    <t>Total Addressable Market (TAM)</t>
  </si>
  <si>
    <t>Based on global market size estimates from Market Intelo covering the broader academic publishing</t>
  </si>
  <si>
    <t>Serviceable Addressable Market (SAM)</t>
  </si>
  <si>
    <r>
      <rPr>
        <sz val="10"/>
        <color theme="1"/>
        <rFont val="Calibri"/>
        <charset val="134"/>
      </rPr>
      <t xml:space="preserve">Narrows this down to the segments Liberata can realistically target—subscriptions from university libraries, corporations, and individual users in addition to advertising—while excluding author-side APC article processing payments that don’t fit Liberata’s model
</t>
    </r>
    <r>
      <rPr>
        <i/>
        <sz val="10"/>
        <color theme="1"/>
        <rFont val="Calibri"/>
        <charset val="134"/>
      </rPr>
      <t>Method: TAM x relevant category percentages (e.g., subscriptions but NOT article processing charges)</t>
    </r>
  </si>
  <si>
    <t>Serviceable Obtainable Market (SOM)</t>
  </si>
  <si>
    <t>Reflects an assumed percentage of the market that Liberata can realistically capture as the industry gradually shifts from view-based to metric-based incentives, recognizing that part of the market will likely stay tied to legacy journal systems</t>
  </si>
  <si>
    <t>2. Academic Metrics</t>
  </si>
  <si>
    <t>Breakdown of categories</t>
  </si>
  <si>
    <t>Broken down figure</t>
  </si>
  <si>
    <r>
      <rPr>
        <sz val="10"/>
        <color theme="1"/>
        <rFont val="Calibri"/>
        <charset val="134"/>
      </rPr>
      <t xml:space="preserve">Calculated by multiplying the number of research-producing institutions globally—broken down by Carnegie Classifiers (R1, R2, R3, and other U.S. or international equivalents)—by their estimated annual spend on academic metrics, then adjusting for each group’s likelihood of paying for such tools
</t>
    </r>
    <r>
      <rPr>
        <i/>
        <sz val="10"/>
        <color theme="1"/>
        <rFont val="Calibri"/>
        <charset val="134"/>
      </rPr>
      <t>Method: Number of each type of university x spend based on the type of university x percentage likelihood of each type of university to spend on academic metrics</t>
    </r>
  </si>
  <si>
    <t>R1 University</t>
  </si>
  <si>
    <t>R2 University</t>
  </si>
  <si>
    <t>R3 University</t>
  </si>
  <si>
    <t>Other US non-doctoral instutiton</t>
  </si>
  <si>
    <t>Other global university</t>
  </si>
  <si>
    <t>Assumes Liberata’s superior academic metrics position it to capture the entire academic metrics segment globally</t>
  </si>
  <si>
    <t>Reflects Liberata’s ability to scale as a platform and maintain that market over time, supported by its patent and sustained competitive advantage</t>
  </si>
  <si>
    <t>3. AI Licensing</t>
  </si>
  <si>
    <t>Based on global market size data from Grandview Research for the AI datasets and licensing market</t>
  </si>
  <si>
    <t>Represents the portion of the market driven by LLM producers purchasing training data, calculated as 32.4% of the total per Grandview Research</t>
  </si>
  <si>
    <t>Reflects the share Liberata can realistically capture as its user base and dataset quality grow—driven by improved research data and replication incentives—calculated by applying an assumed market capture rate to the SAM</t>
  </si>
  <si>
    <t>Financial Projection Summary</t>
  </si>
  <si>
    <r>
      <rPr>
        <b/>
        <i/>
        <sz val="14"/>
        <color theme="1"/>
        <rFont val="Calibri"/>
        <charset val="134"/>
      </rPr>
      <t>1. Revenue Projections</t>
    </r>
    <r>
      <rPr>
        <i/>
        <sz val="14"/>
        <color theme="1"/>
        <rFont val="Calibri"/>
        <charset val="134"/>
      </rPr>
      <t xml:space="preserve"> Breaks down revenue expectations across various users</t>
    </r>
  </si>
  <si>
    <r>
      <rPr>
        <b/>
        <i/>
        <sz val="14"/>
        <color theme="1"/>
        <rFont val="Calibri"/>
        <charset val="134"/>
      </rPr>
      <t>2. Cost Projections</t>
    </r>
    <r>
      <rPr>
        <i/>
        <sz val="14"/>
        <color theme="1"/>
        <rFont val="Calibri"/>
        <charset val="134"/>
      </rPr>
      <t xml:space="preserve"> Breaks down costs across OpEx and CapEx</t>
    </r>
  </si>
  <si>
    <r>
      <rPr>
        <b/>
        <i/>
        <sz val="14"/>
        <color theme="1"/>
        <rFont val="Calibri"/>
        <charset val="134"/>
      </rPr>
      <t>3. Profit Projections</t>
    </r>
    <r>
      <rPr>
        <i/>
        <sz val="14"/>
        <color theme="1"/>
        <rFont val="Calibri"/>
        <charset val="134"/>
      </rPr>
      <t xml:space="preserve"> Summarizes profit expectations based on revenue and costs </t>
    </r>
  </si>
  <si>
    <t>Dropdown adjustment</t>
  </si>
  <si>
    <t>Sensitivity Analysis - Low/Moderate/High revenue projections</t>
  </si>
  <si>
    <t>Revenue Projections</t>
  </si>
  <si>
    <t>User Types</t>
  </si>
  <si>
    <t>Institutions</t>
  </si>
  <si>
    <t>Think Tanks/Non-Profits</t>
  </si>
  <si>
    <t>Government</t>
  </si>
  <si>
    <t>Instutions - Totals</t>
  </si>
  <si>
    <t>Private Industry</t>
  </si>
  <si>
    <t>Private Industry - Totals</t>
  </si>
  <si>
    <t>TOTAL</t>
  </si>
  <si>
    <t>Sensitivity Analysis - Low/Moderate/High cost projections</t>
  </si>
  <si>
    <t>Cost Projections</t>
  </si>
  <si>
    <t>Operating Expenses (OpEx)</t>
  </si>
  <si>
    <t>Salary &amp; Wages</t>
  </si>
  <si>
    <t>Cloud &amp; Compute + AI Training</t>
  </si>
  <si>
    <t>Marketing &amp; Outreach</t>
  </si>
  <si>
    <t>SG&amp;A</t>
  </si>
  <si>
    <t>OpEx - Totals</t>
  </si>
  <si>
    <t>Capital Expenditures (CapEx)</t>
  </si>
  <si>
    <t>Office and other expenditures</t>
  </si>
  <si>
    <t>CapEx - Totals</t>
  </si>
  <si>
    <r>
      <rPr>
        <b/>
        <i/>
        <sz val="9"/>
        <color theme="1"/>
        <rFont val="Arial Bold Italic"/>
        <charset val="134"/>
      </rPr>
      <t>COST ADJUSTMENT — Lean scaling and operational efficiency:</t>
    </r>
    <r>
      <rPr>
        <i/>
        <sz val="9"/>
        <color theme="1"/>
        <rFont val="Arial Italic"/>
        <charset val="134"/>
      </rPr>
      <t xml:space="preserve"> Early-stage costs decrease from $3.03M to $2.66M (2026) and from $3.21M to $2.81M (2027), driven by reduced hiring and lower SG&amp;A, marketing, and infrastructure cost growth. This reflects a more disciplined, demand-aligned cost structure that significantly lowers early burn without compromising long-term scalability.</t>
    </r>
  </si>
  <si>
    <t>Profit Projections</t>
  </si>
  <si>
    <t>Projected Revenues</t>
  </si>
  <si>
    <t>Projected Costs</t>
  </si>
  <si>
    <t>EBIT</t>
  </si>
  <si>
    <r>
      <rPr>
        <b/>
        <i/>
        <sz val="9"/>
        <color theme="1"/>
        <rFont val="Arial Bold Italic"/>
        <charset val="134"/>
      </rPr>
      <t>EBIT IMPACT — Lean scaling and operational efficiency:</t>
    </r>
    <r>
      <rPr>
        <i/>
        <sz val="9"/>
        <color theme="1"/>
        <rFont val="Arial Italic"/>
        <charset val="134"/>
      </rPr>
      <t xml:space="preserve"> EBIT improves from -$209.8K to +$193.5K in 2027, shifting to profitability one year earlier. This is driven by reduced operating costs rather than revenue changes, demonstrating the strong impact of cost efficiency on accelerating breakeven by ~1–2 years.</t>
    </r>
  </si>
  <si>
    <t>Financial Projection Breakdown</t>
  </si>
  <si>
    <r>
      <rPr>
        <b/>
        <i/>
        <sz val="14"/>
        <color theme="1"/>
        <rFont val="Calibri"/>
        <charset val="134"/>
      </rPr>
      <t>1. Assumptions</t>
    </r>
    <r>
      <rPr>
        <i/>
        <sz val="14"/>
        <color theme="1"/>
        <rFont val="Calibri"/>
        <charset val="134"/>
      </rPr>
      <t xml:space="preserve"> Details key decision points affecting the model</t>
    </r>
  </si>
  <si>
    <r>
      <rPr>
        <b/>
        <i/>
        <sz val="14"/>
        <color theme="1"/>
        <rFont val="Calibri"/>
        <charset val="134"/>
      </rPr>
      <t>2. Revenues</t>
    </r>
    <r>
      <rPr>
        <i/>
        <sz val="14"/>
        <color theme="1"/>
        <rFont val="Calibri"/>
        <charset val="134"/>
      </rPr>
      <t xml:space="preserve"> Breaks down revenue expectations across various users</t>
    </r>
  </si>
  <si>
    <r>
      <rPr>
        <b/>
        <i/>
        <sz val="14"/>
        <color theme="1"/>
        <rFont val="Calibri"/>
        <charset val="134"/>
      </rPr>
      <t xml:space="preserve">3. Costs </t>
    </r>
    <r>
      <rPr>
        <i/>
        <sz val="14"/>
        <color theme="1"/>
        <rFont val="Calibri"/>
        <charset val="134"/>
      </rPr>
      <t>Breaks down costs across OpEx and CapEx</t>
    </r>
  </si>
  <si>
    <t>Individual users are excluded from the model as they represent a negligible share of total revenue</t>
  </si>
  <si>
    <t>Revenue is based solely on bundled product offerings, with no income for individual features</t>
  </si>
  <si>
    <t>The model focuses exclusively on targeting universities during the first five years</t>
  </si>
  <si>
    <t>University adoption growth rates vary over time</t>
  </si>
  <si>
    <t>Universities receive one-year free trials, after which all transition to paid subscriptions by year two</t>
  </si>
  <si>
    <t>The model excludes additional revenue streams such as advertising, data licensing, or LLM partnerships</t>
  </si>
  <si>
    <t>R1 universities are captured first through free trials, followed by sequential adoption by R2 and R3 institutions + non-doctoral U.S. and global universities</t>
  </si>
  <si>
    <t>Costs are based on phased rollout of features beginning in 2026, 2028, and 2030 respectively</t>
  </si>
  <si>
    <t>AI training operations commence in phase two of implementation</t>
  </si>
  <si>
    <t>Capital expenditures (e.g., office) begin midway through phase three (past 2030)</t>
  </si>
  <si>
    <t>Users</t>
  </si>
  <si>
    <t>Revenues</t>
  </si>
  <si>
    <t>User 1 - Universities</t>
  </si>
  <si>
    <t>Free trial period (note: end of free trial period for universities corresponds with planned feature releases for 2028)</t>
  </si>
  <si>
    <t>% growth in universities with Liberata subscriptions</t>
  </si>
  <si>
    <t>N/A</t>
  </si>
  <si>
    <t>Total # of universities with a Liberata subscription</t>
  </si>
  <si>
    <t>Number of universities with one year free trial subscriptions</t>
  </si>
  <si>
    <t>Number of R1 universities with paid subscriptions</t>
  </si>
  <si>
    <t>Number of R2 universities with paid subscriptions</t>
  </si>
  <si>
    <t>Number of R3 universities with paid subscriptions</t>
  </si>
  <si>
    <t>Number of other U.S.  universities with paid subscriptions</t>
  </si>
  <si>
    <t>Number of other global universities with paid subscriptions</t>
  </si>
  <si>
    <t>% increase in price</t>
  </si>
  <si>
    <t>Spend per R1 university on paid subscriptions</t>
  </si>
  <si>
    <t>Spend per R2 university on paid subscriptions</t>
  </si>
  <si>
    <t>Spend per R3 university on paid subscriptions</t>
  </si>
  <si>
    <t>Spend per other U.S. university on paid subscriptions</t>
  </si>
  <si>
    <t>Spend per other global university on paid subscriptions</t>
  </si>
  <si>
    <t>User 2 - Think Tanks/Non-Profits</t>
  </si>
  <si>
    <t>% growth in users with subscriptions</t>
  </si>
  <si>
    <t>Number of think tanks/non-profits with subscriptions</t>
  </si>
  <si>
    <t>Spend per think tank/non-profit on subscriptions</t>
  </si>
  <si>
    <t>User 3 - Government Organization</t>
  </si>
  <si>
    <t>Number of government bodies with subscriptions</t>
  </si>
  <si>
    <t>Spend per government body on subscriptions</t>
  </si>
  <si>
    <t>User 4 - Corporations</t>
  </si>
  <si>
    <t>Number of corporations with subscriptions</t>
  </si>
  <si>
    <t>Spend per corporation on subscriptions</t>
  </si>
  <si>
    <t>User 5 - Publishing Organizations</t>
  </si>
  <si>
    <t>Number of publishing orgs with subscriptions</t>
  </si>
  <si>
    <t>Spend per publishing org on subscriptions</t>
  </si>
  <si>
    <t>User 6 - Rankings Organizations</t>
  </si>
  <si>
    <t>Number of rankings orgs with subscriptions</t>
  </si>
  <si>
    <t>Spend per rankings org on subscriptions</t>
  </si>
  <si>
    <t>Phase 3 - Scaling</t>
  </si>
  <si>
    <t>Salaries &amp; Wages:</t>
  </si>
  <si>
    <t>Generic annual % increase of salary/wages (used for SWE + years 1-2 management)</t>
  </si>
  <si>
    <t>Software engineering</t>
  </si>
  <si>
    <t>Marketing</t>
  </si>
  <si>
    <t>Annual % increase in marketing personnel</t>
  </si>
  <si>
    <t>Other business functions (e.g., finance, ops, accounting)</t>
  </si>
  <si>
    <t>Annual % increase in other business functions personnel</t>
  </si>
  <si>
    <t>Management</t>
  </si>
  <si>
    <t>Cloud/Compute costs</t>
  </si>
  <si>
    <t>Annual % increase in of cloud compute costs</t>
  </si>
  <si>
    <t>Marketing/Outreach costs</t>
  </si>
  <si>
    <t>Annual % increase in of marketing/outreach costs</t>
  </si>
  <si>
    <t>SG&amp;A Costs</t>
  </si>
  <si>
    <t>Annual % increase in of SG&amp;A</t>
  </si>
  <si>
    <t>AI Training Costs</t>
  </si>
  <si>
    <t>Annual % increase in of AI training costs</t>
  </si>
  <si>
    <t>Increase_in_Foot_Traffic</t>
  </si>
  <si>
    <t>Increase_in_Conversion</t>
  </si>
  <si>
    <t>Increase_in_Average_Transaction_Value</t>
  </si>
  <si>
    <t>Store_Renovations</t>
  </si>
  <si>
    <t>Labor_Changes</t>
  </si>
  <si>
    <t>Marketing_Costs</t>
  </si>
  <si>
    <t>Income_Lost_During_Transition</t>
  </si>
  <si>
    <t>Operating_Costs</t>
  </si>
  <si>
    <t>Scenario_Toggle</t>
  </si>
  <si>
    <t>1_Low</t>
  </si>
  <si>
    <t>2_Mid</t>
  </si>
  <si>
    <t>3_High</t>
  </si>
</sst>
</file>

<file path=xl/styles.xml><?xml version="1.0" encoding="utf-8"?>
<styleSheet xmlns="http://schemas.openxmlformats.org/spreadsheetml/2006/main" xmlns:xr9="http://schemas.microsoft.com/office/spreadsheetml/2016/revision9">
  <numFmts count="9">
    <numFmt numFmtId="41" formatCode="_ * #,##0_ ;_ * \-#,##0_ ;_ * &quot;-&quot;_ ;_ @_ "/>
    <numFmt numFmtId="42" formatCode="_ &quot;￥&quot;* #,##0_ ;_ &quot;￥&quot;* \-#,##0_ ;_ &quot;￥&quot;* &quot;-&quot;_ ;_ @_ "/>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quot;$&quot;#,##0"/>
    <numFmt numFmtId="181" formatCode="0.0"/>
    <numFmt numFmtId="182" formatCode="mmmm\ yyyy"/>
  </numFmts>
  <fonts count="62">
    <font>
      <sz val="11"/>
      <color theme="1"/>
      <name val="等线"/>
      <charset val="134"/>
      <scheme val="minor"/>
    </font>
    <font>
      <b/>
      <sz val="11"/>
      <color theme="0"/>
      <name val="等线"/>
      <charset val="134"/>
      <scheme val="minor"/>
    </font>
    <font>
      <sz val="11"/>
      <color theme="1"/>
      <name val="Calibri"/>
      <charset val="134"/>
    </font>
    <font>
      <b/>
      <sz val="26"/>
      <color theme="1"/>
      <name val="Calibri"/>
      <charset val="134"/>
    </font>
    <font>
      <i/>
      <sz val="14"/>
      <color theme="1"/>
      <name val="Calibri"/>
      <charset val="134"/>
    </font>
    <font>
      <b/>
      <sz val="16"/>
      <color theme="1"/>
      <name val="Calibri"/>
      <charset val="134"/>
    </font>
    <font>
      <i/>
      <sz val="11"/>
      <color theme="1"/>
      <name val="Calibri"/>
      <charset val="134"/>
    </font>
    <font>
      <i/>
      <sz val="12"/>
      <color theme="1"/>
      <name val="Calibri"/>
      <charset val="134"/>
    </font>
    <font>
      <sz val="10"/>
      <color theme="0"/>
      <name val="Calibri"/>
      <charset val="134"/>
    </font>
    <font>
      <i/>
      <sz val="10"/>
      <name val="Calibri"/>
      <charset val="134"/>
    </font>
    <font>
      <i/>
      <sz val="10"/>
      <color theme="1"/>
      <name val="Calibri"/>
      <charset val="134"/>
    </font>
    <font>
      <i/>
      <u/>
      <sz val="10"/>
      <name val="Calibri"/>
      <charset val="134"/>
    </font>
    <font>
      <u/>
      <sz val="10"/>
      <color theme="1"/>
      <name val="Calibri"/>
      <charset val="134"/>
    </font>
    <font>
      <sz val="10"/>
      <name val="Calibri"/>
      <charset val="134"/>
    </font>
    <font>
      <sz val="10"/>
      <color theme="1"/>
      <name val="Calibri"/>
      <charset val="134"/>
    </font>
    <font>
      <i/>
      <u/>
      <sz val="10"/>
      <color theme="1"/>
      <name val="Calibri"/>
      <charset val="134"/>
    </font>
    <font>
      <b/>
      <sz val="10"/>
      <color theme="1"/>
      <name val="Calibri"/>
      <charset val="134"/>
    </font>
    <font>
      <u/>
      <sz val="11"/>
      <color theme="1"/>
      <name val="Calibri"/>
      <charset val="134"/>
    </font>
    <font>
      <b/>
      <sz val="10"/>
      <name val="Calibri"/>
      <charset val="134"/>
    </font>
    <font>
      <b/>
      <sz val="11"/>
      <color rgb="FF070299"/>
      <name val="Calibri"/>
      <charset val="134"/>
    </font>
    <font>
      <b/>
      <sz val="11"/>
      <color theme="0"/>
      <name val="Calibri"/>
      <charset val="134"/>
    </font>
    <font>
      <b/>
      <sz val="10"/>
      <color rgb="FF070299"/>
      <name val="Calibri"/>
      <charset val="134"/>
    </font>
    <font>
      <u/>
      <sz val="10"/>
      <color rgb="FF0000FF"/>
      <name val="Calibri"/>
      <charset val="134"/>
    </font>
    <font>
      <b/>
      <i/>
      <sz val="9"/>
      <color theme="1"/>
      <name val="Arial Bold Italic"/>
      <charset val="134"/>
    </font>
    <font>
      <b/>
      <i/>
      <sz val="14"/>
      <color theme="1"/>
      <name val="Calibri"/>
      <charset val="134"/>
    </font>
    <font>
      <b/>
      <sz val="14"/>
      <color theme="1"/>
      <name val="Calibri"/>
      <charset val="134"/>
    </font>
    <font>
      <sz val="10"/>
      <color rgb="FF000000"/>
      <name val="Calibri"/>
      <charset val="134"/>
    </font>
    <font>
      <b/>
      <i/>
      <sz val="10"/>
      <color rgb="FF070299"/>
      <name val="Calibri"/>
      <charset val="134"/>
    </font>
    <font>
      <b/>
      <sz val="14"/>
      <color rgb="FF000000"/>
      <name val="Calibri"/>
      <charset val="134"/>
    </font>
    <font>
      <sz val="11"/>
      <color rgb="FF000000"/>
      <name val="Calibri"/>
      <charset val="134"/>
    </font>
    <font>
      <sz val="10"/>
      <color rgb="FFFFFFFF"/>
      <name val="Calibri"/>
      <charset val="134"/>
    </font>
    <font>
      <sz val="10"/>
      <color rgb="FF000000"/>
      <name val="Arial Regular"/>
      <charset val="134"/>
    </font>
    <font>
      <b/>
      <sz val="11"/>
      <color theme="1"/>
      <name val="Arial Regular"/>
      <charset val="134"/>
    </font>
    <font>
      <b/>
      <i/>
      <sz val="11"/>
      <color theme="1"/>
      <name val="Calibri"/>
      <charset val="134"/>
    </font>
    <font>
      <b/>
      <sz val="11"/>
      <color theme="1"/>
      <name val="Calibri"/>
      <charset val="134"/>
    </font>
    <font>
      <b/>
      <u/>
      <sz val="14"/>
      <color theme="1"/>
      <name val="Calibri"/>
      <charset val="134"/>
    </font>
    <font>
      <b/>
      <sz val="12"/>
      <color theme="1"/>
      <name val="Calibri"/>
      <charset val="134"/>
    </font>
    <font>
      <sz val="11"/>
      <color rgb="FFFF0000"/>
      <name val="Calibri"/>
      <charset val="134"/>
    </font>
    <font>
      <sz val="11"/>
      <name val="Calibri"/>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scheme val="minor"/>
    </font>
    <font>
      <i/>
      <sz val="9"/>
      <color theme="1"/>
      <name val="Arial Italic"/>
      <charset val="134"/>
    </font>
    <font>
      <b/>
      <i/>
      <sz val="11"/>
      <color theme="1"/>
      <name val="宋体-简"/>
      <charset val="134"/>
    </font>
    <font>
      <b/>
      <sz val="11"/>
      <color theme="1"/>
      <name val="宋体-简"/>
      <charset val="134"/>
    </font>
  </fonts>
  <fills count="47">
    <fill>
      <patternFill patternType="none"/>
    </fill>
    <fill>
      <patternFill patternType="gray125"/>
    </fill>
    <fill>
      <patternFill patternType="solid">
        <fgColor theme="0" tint="-0.499984740745262"/>
        <bgColor indexed="64"/>
      </patternFill>
    </fill>
    <fill>
      <patternFill patternType="solid">
        <fgColor theme="0" tint="-0.149998474074526"/>
        <bgColor indexed="64"/>
      </patternFill>
    </fill>
    <fill>
      <patternFill patternType="solid">
        <fgColor theme="1"/>
        <bgColor rgb="FFD9D9D9"/>
      </patternFill>
    </fill>
    <fill>
      <patternFill patternType="solid">
        <fgColor rgb="FF070299"/>
        <bgColor rgb="FFD9D9D9"/>
      </patternFill>
    </fill>
    <fill>
      <patternFill patternType="solid">
        <fgColor theme="0" tint="-0.0499893185216834"/>
        <bgColor indexed="64"/>
      </patternFill>
    </fill>
    <fill>
      <patternFill patternType="solid">
        <fgColor rgb="FFCDCCFF"/>
        <bgColor indexed="64"/>
      </patternFill>
    </fill>
    <fill>
      <patternFill patternType="solid">
        <fgColor theme="0" tint="-0.349986266670736"/>
        <bgColor indexed="64"/>
      </patternFill>
    </fill>
    <fill>
      <patternFill patternType="solid">
        <fgColor rgb="FFFFFF00"/>
        <bgColor indexed="64"/>
      </patternFill>
    </fill>
    <fill>
      <patternFill patternType="solid">
        <fgColor rgb="FFCDCCFF"/>
        <bgColor rgb="FFD9D9D9"/>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F2F2F2"/>
        <bgColor rgb="FF000000"/>
      </patternFill>
    </fill>
    <fill>
      <patternFill patternType="solid">
        <fgColor theme="0" tint="-0.149998474074526"/>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theme="4" tint="0.399975585192419"/>
      </bottom>
      <diagonal/>
    </border>
    <border>
      <left/>
      <right/>
      <top style="thin">
        <color theme="4" tint="0.399975585192419"/>
      </top>
      <bottom style="thin">
        <color theme="4" tint="0.399975585192419"/>
      </bottom>
      <diagonal/>
    </border>
    <border>
      <left/>
      <right/>
      <top/>
      <bottom style="medium">
        <color auto="1"/>
      </bottom>
      <diagonal/>
    </border>
    <border>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medium">
        <color auto="1"/>
      </top>
      <bottom/>
      <diagonal/>
    </border>
    <border>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xf numFmtId="0" fontId="40" fillId="0" borderId="0" applyNumberFormat="0" applyFill="0" applyBorder="0" applyAlignment="0" applyProtection="0">
      <alignment vertical="center"/>
    </xf>
    <xf numFmtId="0" fontId="0" fillId="16" borderId="17"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8" applyNumberFormat="0" applyFill="0" applyAlignment="0" applyProtection="0">
      <alignment vertical="center"/>
    </xf>
    <xf numFmtId="0" fontId="45" fillId="0" borderId="18" applyNumberFormat="0" applyFill="0" applyAlignment="0" applyProtection="0">
      <alignment vertical="center"/>
    </xf>
    <xf numFmtId="0" fontId="46" fillId="0" borderId="19" applyNumberFormat="0" applyFill="0" applyAlignment="0" applyProtection="0">
      <alignment vertical="center"/>
    </xf>
    <xf numFmtId="0" fontId="46" fillId="0" borderId="0" applyNumberFormat="0" applyFill="0" applyBorder="0" applyAlignment="0" applyProtection="0">
      <alignment vertical="center"/>
    </xf>
    <xf numFmtId="0" fontId="47" fillId="17" borderId="20" applyNumberFormat="0" applyAlignment="0" applyProtection="0">
      <alignment vertical="center"/>
    </xf>
    <xf numFmtId="0" fontId="48" fillId="18" borderId="21" applyNumberFormat="0" applyAlignment="0" applyProtection="0">
      <alignment vertical="center"/>
    </xf>
    <xf numFmtId="0" fontId="49" fillId="18" borderId="20" applyNumberFormat="0" applyAlignment="0" applyProtection="0">
      <alignment vertical="center"/>
    </xf>
    <xf numFmtId="0" fontId="50" fillId="19" borderId="22" applyNumberFormat="0" applyAlignment="0" applyProtection="0">
      <alignment vertical="center"/>
    </xf>
    <xf numFmtId="0" fontId="51" fillId="0" borderId="23" applyNumberFormat="0" applyFill="0" applyAlignment="0" applyProtection="0">
      <alignment vertical="center"/>
    </xf>
    <xf numFmtId="0" fontId="52" fillId="0" borderId="24" applyNumberFormat="0" applyFill="0" applyAlignment="0" applyProtection="0">
      <alignment vertical="center"/>
    </xf>
    <xf numFmtId="0" fontId="53" fillId="20" borderId="0" applyNumberFormat="0" applyBorder="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6"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6" fillId="38" borderId="0" applyNumberFormat="0" applyBorder="0" applyAlignment="0" applyProtection="0">
      <alignment vertical="center"/>
    </xf>
    <xf numFmtId="0" fontId="56" fillId="39" borderId="0" applyNumberFormat="0" applyBorder="0" applyAlignment="0" applyProtection="0">
      <alignment vertical="center"/>
    </xf>
    <xf numFmtId="0" fontId="57" fillId="40" borderId="0" applyNumberFormat="0" applyBorder="0" applyAlignment="0" applyProtection="0">
      <alignment vertical="center"/>
    </xf>
    <xf numFmtId="0" fontId="57" fillId="41" borderId="0" applyNumberFormat="0" applyBorder="0" applyAlignment="0" applyProtection="0">
      <alignment vertical="center"/>
    </xf>
    <xf numFmtId="0" fontId="56" fillId="42" borderId="0" applyNumberFormat="0" applyBorder="0" applyAlignment="0" applyProtection="0">
      <alignment vertical="center"/>
    </xf>
    <xf numFmtId="0" fontId="56" fillId="43" borderId="0" applyNumberFormat="0" applyBorder="0" applyAlignment="0" applyProtection="0">
      <alignment vertical="center"/>
    </xf>
    <xf numFmtId="0" fontId="57" fillId="44" borderId="0" applyNumberFormat="0" applyBorder="0" applyAlignment="0" applyProtection="0">
      <alignment vertical="center"/>
    </xf>
    <xf numFmtId="0" fontId="57" fillId="45" borderId="0" applyNumberFormat="0" applyBorder="0" applyAlignment="0" applyProtection="0">
      <alignment vertical="center"/>
    </xf>
    <xf numFmtId="0" fontId="56" fillId="46" borderId="0" applyNumberFormat="0" applyBorder="0" applyAlignment="0" applyProtection="0">
      <alignment vertical="center"/>
    </xf>
    <xf numFmtId="176" fontId="58" fillId="0" borderId="0" applyFont="0" applyFill="0" applyBorder="0" applyAlignment="0" applyProtection="0"/>
    <xf numFmtId="177" fontId="58" fillId="0" borderId="0" applyFont="0" applyFill="0" applyBorder="0" applyAlignment="0" applyProtection="0"/>
    <xf numFmtId="0" fontId="0" fillId="0" borderId="0"/>
    <xf numFmtId="0" fontId="58" fillId="0" borderId="0"/>
    <xf numFmtId="9" fontId="58" fillId="0" borderId="0" applyFont="0" applyFill="0" applyBorder="0" applyAlignment="0" applyProtection="0"/>
  </cellStyleXfs>
  <cellXfs count="275">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wrapText="1"/>
    </xf>
    <xf numFmtId="0" fontId="2" fillId="0" borderId="0" xfId="0" applyFont="1" applyAlignment="1">
      <alignment vertical="center"/>
    </xf>
    <xf numFmtId="0" fontId="2" fillId="0" borderId="0" xfId="0" applyFont="1"/>
    <xf numFmtId="0" fontId="2"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2" fillId="0" borderId="3" xfId="0" applyFont="1" applyBorder="1"/>
    <xf numFmtId="0" fontId="2" fillId="0" borderId="3" xfId="0" applyFont="1" applyBorder="1" applyAlignment="1">
      <alignment wrapText="1"/>
    </xf>
    <xf numFmtId="0" fontId="5"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xf>
    <xf numFmtId="0" fontId="6" fillId="0" borderId="0" xfId="0" applyFont="1" applyAlignment="1">
      <alignment horizontal="left" wrapText="1"/>
    </xf>
    <xf numFmtId="0" fontId="7" fillId="0" borderId="0" xfId="0" applyFont="1" applyAlignment="1">
      <alignment wrapText="1"/>
    </xf>
    <xf numFmtId="0" fontId="6" fillId="0" borderId="4" xfId="0" applyFont="1" applyBorder="1" applyAlignment="1">
      <alignment horizontal="center" wrapText="1"/>
    </xf>
    <xf numFmtId="0" fontId="8" fillId="4" borderId="0" xfId="0" applyFont="1" applyFill="1" applyAlignment="1">
      <alignment horizontal="left" vertical="center" wrapText="1"/>
    </xf>
    <xf numFmtId="0" fontId="8" fillId="5" borderId="0" xfId="0" applyFont="1" applyFill="1" applyAlignment="1">
      <alignment horizontal="center" vertical="center" wrapText="1"/>
    </xf>
    <xf numFmtId="0" fontId="9" fillId="0" borderId="0" xfId="0" applyFont="1" applyAlignment="1">
      <alignment horizontal="left" vertical="center" wrapText="1"/>
    </xf>
    <xf numFmtId="9" fontId="10" fillId="0" borderId="0" xfId="3" applyFont="1" applyFill="1" applyBorder="1" applyAlignment="1">
      <alignment horizontal="center" vertical="center" wrapText="1"/>
    </xf>
    <xf numFmtId="0" fontId="11" fillId="0" borderId="0" xfId="0" applyFont="1" applyAlignment="1">
      <alignment horizontal="left" vertical="center" wrapText="1"/>
    </xf>
    <xf numFmtId="178" fontId="12" fillId="0" borderId="0" xfId="1" applyNumberFormat="1" applyFont="1" applyFill="1" applyBorder="1" applyAlignment="1">
      <alignment horizontal="center" vertical="center" wrapText="1"/>
    </xf>
    <xf numFmtId="0" fontId="13" fillId="0" borderId="0" xfId="0" applyFont="1" applyAlignment="1">
      <alignment horizontal="left" vertical="center" wrapText="1"/>
    </xf>
    <xf numFmtId="178" fontId="14" fillId="0" borderId="0" xfId="1" applyNumberFormat="1" applyFont="1" applyFill="1" applyBorder="1" applyAlignment="1">
      <alignment horizontal="center" vertical="center" wrapText="1"/>
    </xf>
    <xf numFmtId="178" fontId="10" fillId="0" borderId="0" xfId="1" applyNumberFormat="1" applyFont="1" applyFill="1" applyBorder="1" applyAlignment="1">
      <alignment horizontal="center" vertical="center" wrapText="1"/>
    </xf>
    <xf numFmtId="178" fontId="14" fillId="6" borderId="0" xfId="1" applyNumberFormat="1" applyFont="1" applyFill="1" applyBorder="1" applyAlignment="1">
      <alignment horizontal="center" vertical="center" wrapText="1"/>
    </xf>
    <xf numFmtId="0" fontId="13" fillId="0" borderId="4" xfId="0" applyFont="1" applyBorder="1" applyAlignment="1">
      <alignment horizontal="left" vertical="center" wrapText="1"/>
    </xf>
    <xf numFmtId="178" fontId="14" fillId="6" borderId="4" xfId="1" applyNumberFormat="1" applyFont="1" applyFill="1" applyBorder="1" applyAlignment="1">
      <alignment horizontal="center" vertical="center" wrapText="1"/>
    </xf>
    <xf numFmtId="0" fontId="13" fillId="0" borderId="0" xfId="0" applyFont="1" applyAlignment="1">
      <alignment wrapText="1"/>
    </xf>
    <xf numFmtId="179" fontId="14" fillId="0" borderId="0" xfId="2" applyNumberFormat="1" applyFont="1" applyFill="1" applyBorder="1" applyAlignment="1">
      <alignment wrapText="1"/>
    </xf>
    <xf numFmtId="0" fontId="13" fillId="0" borderId="4" xfId="0" applyFont="1" applyBorder="1" applyAlignment="1">
      <alignment wrapText="1"/>
    </xf>
    <xf numFmtId="179" fontId="14" fillId="0" borderId="4" xfId="2" applyNumberFormat="1" applyFont="1" applyFill="1" applyBorder="1" applyAlignment="1">
      <alignment wrapText="1"/>
    </xf>
    <xf numFmtId="0" fontId="13" fillId="6" borderId="0" xfId="0" applyFont="1" applyFill="1" applyAlignment="1">
      <alignment vertical="center" wrapText="1"/>
    </xf>
    <xf numFmtId="179" fontId="14" fillId="6" borderId="0" xfId="2" applyNumberFormat="1" applyFont="1" applyFill="1" applyBorder="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176" fontId="14" fillId="0" borderId="0" xfId="1" applyFont="1" applyFill="1" applyBorder="1" applyAlignment="1">
      <alignment vertical="center" wrapText="1"/>
    </xf>
    <xf numFmtId="0" fontId="6" fillId="0" borderId="0" xfId="0" applyFont="1"/>
    <xf numFmtId="178" fontId="15" fillId="0" borderId="0" xfId="1" applyNumberFormat="1" applyFont="1" applyFill="1" applyBorder="1" applyAlignment="1">
      <alignment horizontal="center" vertical="center" wrapText="1"/>
    </xf>
    <xf numFmtId="178" fontId="14" fillId="0" borderId="0" xfId="1" applyNumberFormat="1" applyFont="1" applyFill="1" applyBorder="1" applyAlignment="1">
      <alignment horizontal="center" vertical="center"/>
    </xf>
    <xf numFmtId="178" fontId="10" fillId="0" borderId="4" xfId="1" applyNumberFormat="1" applyFont="1" applyFill="1" applyBorder="1" applyAlignment="1">
      <alignment horizontal="center" vertical="center" wrapText="1"/>
    </xf>
    <xf numFmtId="9" fontId="10" fillId="0" borderId="0" xfId="3" applyFont="1" applyFill="1" applyBorder="1" applyAlignment="1">
      <alignment horizontal="left" vertical="center" wrapText="1"/>
    </xf>
    <xf numFmtId="178" fontId="2" fillId="0" borderId="0" xfId="1" applyNumberFormat="1" applyFont="1" applyBorder="1" applyAlignment="1">
      <alignment vertical="center"/>
    </xf>
    <xf numFmtId="178" fontId="2" fillId="0" borderId="0" xfId="0" applyNumberFormat="1" applyFont="1"/>
    <xf numFmtId="178" fontId="2" fillId="0" borderId="0" xfId="0" applyNumberFormat="1" applyFont="1" applyAlignment="1">
      <alignment vertical="center"/>
    </xf>
    <xf numFmtId="0" fontId="13" fillId="0" borderId="4" xfId="0" applyFont="1" applyBorder="1" applyAlignment="1">
      <alignment vertical="center" wrapText="1"/>
    </xf>
    <xf numFmtId="179" fontId="14" fillId="0" borderId="4" xfId="2" applyNumberFormat="1" applyFont="1" applyFill="1" applyBorder="1" applyAlignment="1">
      <alignment vertical="center" wrapText="1"/>
    </xf>
    <xf numFmtId="0" fontId="6" fillId="0" borderId="0" xfId="0" applyFont="1" applyAlignment="1">
      <alignment horizontal="center" vertical="center"/>
    </xf>
    <xf numFmtId="0" fontId="16" fillId="0" borderId="4" xfId="0" applyFont="1" applyBorder="1" applyAlignment="1">
      <alignment horizontal="left" vertical="center" wrapText="1"/>
    </xf>
    <xf numFmtId="0" fontId="8" fillId="0" borderId="0" xfId="0" applyFont="1" applyAlignment="1">
      <alignment horizontal="center" vertical="center" wrapText="1"/>
    </xf>
    <xf numFmtId="0" fontId="17" fillId="0" borderId="0" xfId="0" applyFont="1" applyAlignment="1">
      <alignment horizontal="right"/>
    </xf>
    <xf numFmtId="0" fontId="9" fillId="0" borderId="0" xfId="0" applyFont="1" applyAlignment="1">
      <alignment horizontal="right" vertical="center" wrapText="1"/>
    </xf>
    <xf numFmtId="179" fontId="10" fillId="0" borderId="0" xfId="2" applyNumberFormat="1" applyFont="1" applyFill="1" applyBorder="1" applyAlignment="1">
      <alignment horizontal="center" vertical="center" wrapText="1"/>
    </xf>
    <xf numFmtId="9" fontId="14" fillId="0" borderId="0" xfId="1" applyNumberFormat="1" applyFont="1" applyFill="1" applyBorder="1" applyAlignment="1">
      <alignment horizontal="center" vertical="center" wrapText="1"/>
    </xf>
    <xf numFmtId="179" fontId="14" fillId="0" borderId="0" xfId="2" applyNumberFormat="1" applyFont="1" applyFill="1" applyBorder="1" applyAlignment="1">
      <alignment vertical="center" wrapText="1"/>
    </xf>
    <xf numFmtId="0" fontId="2" fillId="6" borderId="0" xfId="0" applyFont="1" applyFill="1"/>
    <xf numFmtId="9" fontId="10" fillId="0" borderId="0" xfId="2" applyNumberFormat="1" applyFont="1" applyFill="1" applyBorder="1" applyAlignment="1">
      <alignment horizontal="center" vertical="center"/>
    </xf>
    <xf numFmtId="179" fontId="14" fillId="0" borderId="4" xfId="0" applyNumberFormat="1" applyFont="1" applyBorder="1" applyAlignment="1">
      <alignment horizontal="center" vertical="center"/>
    </xf>
    <xf numFmtId="176" fontId="14" fillId="0" borderId="0" xfId="1" applyFont="1" applyFill="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wrapText="1"/>
    </xf>
    <xf numFmtId="179" fontId="10"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xf>
    <xf numFmtId="0" fontId="6" fillId="0" borderId="0" xfId="0" applyFont="1" applyAlignment="1">
      <alignment horizontal="left" vertical="center"/>
    </xf>
    <xf numFmtId="0" fontId="13" fillId="0" borderId="0" xfId="0" applyFont="1" applyAlignment="1">
      <alignment vertical="center" wrapText="1"/>
    </xf>
    <xf numFmtId="9" fontId="14" fillId="0" borderId="0" xfId="3" applyFont="1" applyFill="1" applyBorder="1" applyAlignment="1">
      <alignment horizontal="center" vertical="center" wrapText="1"/>
    </xf>
    <xf numFmtId="9" fontId="14" fillId="6" borderId="0" xfId="3" applyFont="1" applyFill="1" applyBorder="1" applyAlignment="1">
      <alignment horizontal="center" vertical="center" wrapText="1"/>
    </xf>
    <xf numFmtId="177" fontId="14" fillId="6" borderId="0" xfId="2" applyFont="1" applyFill="1" applyBorder="1" applyAlignment="1">
      <alignment vertical="center" wrapText="1"/>
    </xf>
    <xf numFmtId="0" fontId="18" fillId="0" borderId="4" xfId="0" applyFont="1" applyBorder="1" applyAlignment="1">
      <alignment vertical="center" wrapText="1"/>
    </xf>
    <xf numFmtId="177" fontId="14" fillId="0" borderId="0" xfId="2" applyFont="1" applyFill="1" applyBorder="1" applyAlignment="1">
      <alignment vertical="center" wrapText="1"/>
    </xf>
    <xf numFmtId="177" fontId="14" fillId="6" borderId="4" xfId="2" applyFont="1" applyFill="1" applyBorder="1" applyAlignment="1">
      <alignment vertical="center" wrapText="1"/>
    </xf>
    <xf numFmtId="179" fontId="14" fillId="0" borderId="0" xfId="2" applyNumberFormat="1" applyFont="1" applyBorder="1" applyAlignment="1">
      <alignment horizontal="center" vertical="center"/>
    </xf>
    <xf numFmtId="177" fontId="14" fillId="6" borderId="0" xfId="2" applyFont="1" applyFill="1" applyBorder="1" applyAlignment="1">
      <alignment horizontal="center" vertical="center"/>
    </xf>
    <xf numFmtId="177" fontId="14" fillId="0" borderId="0" xfId="2" applyFont="1" applyFill="1" applyBorder="1" applyAlignment="1">
      <alignment horizontal="center" vertical="center"/>
    </xf>
    <xf numFmtId="177" fontId="14" fillId="6" borderId="4" xfId="2" applyFont="1" applyFill="1" applyBorder="1" applyAlignment="1">
      <alignment horizontal="center" vertical="center"/>
    </xf>
    <xf numFmtId="179" fontId="14" fillId="0" borderId="4" xfId="2" applyNumberFormat="1" applyFont="1" applyBorder="1" applyAlignment="1">
      <alignment horizontal="center" vertical="center"/>
    </xf>
    <xf numFmtId="0" fontId="19" fillId="7" borderId="0" xfId="0" applyFont="1" applyFill="1" applyAlignment="1">
      <alignment horizontal="center"/>
    </xf>
    <xf numFmtId="0" fontId="20" fillId="8" borderId="5" xfId="0" applyFont="1" applyFill="1" applyBorder="1" applyAlignment="1">
      <alignment vertical="center" wrapText="1"/>
    </xf>
    <xf numFmtId="0" fontId="19" fillId="0" borderId="6" xfId="0" applyFont="1" applyBorder="1" applyAlignment="1">
      <alignment vertical="center"/>
    </xf>
    <xf numFmtId="0" fontId="5" fillId="0" borderId="0" xfId="0" applyFont="1"/>
    <xf numFmtId="0" fontId="8" fillId="4" borderId="0" xfId="0" applyFont="1" applyFill="1" applyAlignment="1">
      <alignment horizontal="left" vertical="center"/>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13" fillId="6"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13" fillId="0" borderId="8" xfId="0" applyFont="1" applyBorder="1" applyAlignment="1">
      <alignment horizontal="left" vertical="center" wrapText="1"/>
    </xf>
    <xf numFmtId="0" fontId="13" fillId="3" borderId="0" xfId="0" applyFont="1" applyFill="1" applyAlignment="1">
      <alignment vertical="center"/>
    </xf>
    <xf numFmtId="0" fontId="13" fillId="0" borderId="0" xfId="0" applyFont="1"/>
    <xf numFmtId="9" fontId="21" fillId="0" borderId="0" xfId="0" applyNumberFormat="1" applyFont="1" applyAlignment="1">
      <alignment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0" fontId="13" fillId="3" borderId="7" xfId="0" applyFont="1" applyFill="1" applyBorder="1" applyAlignment="1">
      <alignment horizontal="left" vertical="center" wrapText="1"/>
    </xf>
    <xf numFmtId="0" fontId="2" fillId="3" borderId="0" xfId="0" applyFont="1" applyFill="1" applyAlignment="1">
      <alignment vertical="center" wrapText="1"/>
    </xf>
    <xf numFmtId="179" fontId="14" fillId="6" borderId="7" xfId="2" applyNumberFormat="1" applyFont="1" applyFill="1" applyBorder="1" applyAlignment="1">
      <alignment vertical="center" wrapText="1"/>
    </xf>
    <xf numFmtId="179" fontId="14" fillId="0" borderId="8" xfId="2" applyNumberFormat="1" applyFont="1" applyFill="1" applyBorder="1" applyAlignment="1">
      <alignment vertical="center" wrapText="1"/>
    </xf>
    <xf numFmtId="177" fontId="14" fillId="3" borderId="0" xfId="2" applyFont="1" applyFill="1" applyBorder="1" applyAlignment="1">
      <alignment vertical="center" wrapText="1"/>
    </xf>
    <xf numFmtId="0" fontId="14" fillId="0" borderId="0" xfId="0" applyFont="1" applyAlignment="1">
      <alignment horizontal="center"/>
    </xf>
    <xf numFmtId="0" fontId="22" fillId="0" borderId="0" xfId="0" applyFont="1" applyAlignment="1">
      <alignment wrapText="1"/>
    </xf>
    <xf numFmtId="179" fontId="13" fillId="6" borderId="7" xfId="0" applyNumberFormat="1" applyFont="1" applyFill="1" applyBorder="1" applyAlignment="1">
      <alignment horizontal="left" vertical="center" wrapText="1"/>
    </xf>
    <xf numFmtId="179" fontId="14" fillId="9" borderId="7" xfId="2" applyNumberFormat="1" applyFont="1" applyFill="1" applyBorder="1" applyAlignment="1">
      <alignment vertical="center" wrapText="1"/>
    </xf>
    <xf numFmtId="179" fontId="14" fillId="3" borderId="7" xfId="2" applyNumberFormat="1" applyFont="1" applyFill="1" applyBorder="1" applyAlignment="1">
      <alignment vertical="center" wrapText="1"/>
    </xf>
    <xf numFmtId="179" fontId="14" fillId="3" borderId="0" xfId="2" applyNumberFormat="1" applyFont="1" applyFill="1" applyBorder="1" applyAlignment="1">
      <alignment vertical="center" wrapText="1"/>
    </xf>
    <xf numFmtId="179" fontId="14" fillId="9" borderId="0" xfId="2" applyNumberFormat="1" applyFont="1" applyFill="1" applyBorder="1" applyAlignment="1">
      <alignment vertical="center" wrapText="1"/>
    </xf>
    <xf numFmtId="0" fontId="23" fillId="0" borderId="0" xfId="0" applyFont="1"/>
    <xf numFmtId="0" fontId="23" fillId="0" borderId="0" xfId="0" applyFont="1" applyAlignment="1"/>
    <xf numFmtId="0" fontId="24" fillId="0" borderId="0" xfId="0" applyFont="1" applyAlignment="1">
      <alignment horizontal="left" vertical="center" wrapText="1"/>
    </xf>
    <xf numFmtId="0" fontId="14" fillId="0" borderId="4" xfId="3" applyNumberFormat="1" applyFont="1" applyFill="1" applyBorder="1" applyAlignment="1">
      <alignment horizontal="left" vertical="center" wrapText="1"/>
    </xf>
    <xf numFmtId="0" fontId="13" fillId="0" borderId="7" xfId="0" applyFont="1" applyBorder="1" applyAlignment="1">
      <alignment horizontal="left" vertical="center" wrapText="1"/>
    </xf>
    <xf numFmtId="0" fontId="14" fillId="0" borderId="7" xfId="1" applyNumberFormat="1" applyFont="1" applyFill="1" applyBorder="1" applyAlignment="1">
      <alignment horizontal="left" vertical="center" wrapText="1"/>
    </xf>
    <xf numFmtId="0" fontId="14" fillId="0" borderId="7" xfId="3" applyNumberFormat="1" applyFont="1" applyFill="1" applyBorder="1" applyAlignment="1">
      <alignment horizontal="left" vertical="center" wrapText="1"/>
    </xf>
    <xf numFmtId="0" fontId="14" fillId="0" borderId="0" xfId="3" applyNumberFormat="1" applyFont="1" applyFill="1" applyBorder="1" applyAlignment="1">
      <alignment horizontal="left" vertical="center" wrapText="1"/>
    </xf>
    <xf numFmtId="179" fontId="14" fillId="0" borderId="4" xfId="2" applyNumberFormat="1" applyFont="1" applyFill="1" applyBorder="1" applyAlignment="1">
      <alignment horizontal="center" vertical="center" wrapText="1"/>
    </xf>
    <xf numFmtId="179" fontId="14" fillId="0" borderId="7" xfId="2" applyNumberFormat="1" applyFont="1" applyFill="1" applyBorder="1" applyAlignment="1">
      <alignment horizontal="center" vertical="center"/>
    </xf>
    <xf numFmtId="179" fontId="14" fillId="0" borderId="7" xfId="2" applyNumberFormat="1" applyFont="1" applyFill="1" applyBorder="1" applyAlignment="1">
      <alignment horizontal="center" vertical="center" wrapText="1"/>
    </xf>
    <xf numFmtId="0" fontId="14" fillId="10" borderId="0" xfId="0" applyFont="1" applyFill="1" applyAlignment="1">
      <alignment horizontal="center" vertical="center" wrapText="1"/>
    </xf>
    <xf numFmtId="179" fontId="14"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wrapText="1"/>
    </xf>
    <xf numFmtId="179" fontId="14" fillId="0" borderId="4" xfId="2" applyNumberFormat="1" applyFont="1" applyFill="1" applyBorder="1" applyAlignment="1">
      <alignment horizontal="left" vertical="center" wrapText="1"/>
    </xf>
    <xf numFmtId="0" fontId="14" fillId="6" borderId="7" xfId="1" applyNumberFormat="1" applyFont="1" applyFill="1" applyBorder="1" applyAlignment="1">
      <alignment horizontal="left" vertical="center" wrapText="1"/>
    </xf>
    <xf numFmtId="0" fontId="14" fillId="6" borderId="7" xfId="3" applyNumberFormat="1" applyFont="1" applyFill="1" applyBorder="1" applyAlignment="1">
      <alignment horizontal="left" vertical="center" wrapText="1"/>
    </xf>
    <xf numFmtId="0" fontId="18" fillId="0" borderId="4" xfId="0" applyFont="1" applyBorder="1" applyAlignment="1">
      <alignment horizontal="left" vertical="center" wrapText="1"/>
    </xf>
    <xf numFmtId="10" fontId="14" fillId="0" borderId="4" xfId="2" applyNumberFormat="1" applyFont="1" applyFill="1" applyBorder="1" applyAlignment="1">
      <alignment horizontal="center" vertical="center" wrapText="1"/>
    </xf>
    <xf numFmtId="177" fontId="10" fillId="0" borderId="0" xfId="2" applyFont="1" applyFill="1" applyBorder="1" applyAlignment="1">
      <alignment horizontal="center" vertical="center" wrapText="1"/>
    </xf>
    <xf numFmtId="0" fontId="18" fillId="0" borderId="7" xfId="0" applyFont="1" applyBorder="1" applyAlignment="1">
      <alignment horizontal="left" vertical="center" wrapText="1"/>
    </xf>
    <xf numFmtId="10" fontId="14" fillId="0" borderId="7" xfId="2" applyNumberFormat="1" applyFont="1" applyFill="1" applyBorder="1" applyAlignment="1">
      <alignment horizontal="center" vertical="center" wrapText="1"/>
    </xf>
    <xf numFmtId="0" fontId="13" fillId="6" borderId="0" xfId="0" applyFont="1" applyFill="1" applyAlignment="1">
      <alignment vertical="center"/>
    </xf>
    <xf numFmtId="0" fontId="9" fillId="0" borderId="0" xfId="0" applyFont="1"/>
    <xf numFmtId="179" fontId="14" fillId="0" borderId="7" xfId="2" applyNumberFormat="1" applyFont="1" applyFill="1" applyBorder="1" applyAlignment="1">
      <alignment vertical="center" wrapText="1"/>
    </xf>
    <xf numFmtId="179" fontId="16" fillId="6" borderId="0" xfId="2" applyNumberFormat="1" applyFont="1" applyFill="1" applyBorder="1" applyAlignment="1">
      <alignment vertical="center" wrapText="1"/>
    </xf>
    <xf numFmtId="0" fontId="2" fillId="0" borderId="0" xfId="0" applyFont="1" applyAlignment="1">
      <alignment horizontal="right"/>
    </xf>
    <xf numFmtId="0" fontId="25" fillId="0" borderId="0" xfId="0" applyFont="1"/>
    <xf numFmtId="0" fontId="8" fillId="5" borderId="0" xfId="0" applyFont="1" applyFill="1" applyAlignment="1">
      <alignment vertical="center"/>
    </xf>
    <xf numFmtId="0" fontId="8" fillId="5" borderId="0" xfId="0" applyFont="1" applyFill="1" applyAlignment="1">
      <alignment vertical="center" wrapText="1"/>
    </xf>
    <xf numFmtId="0" fontId="26" fillId="0" borderId="0" xfId="0" applyFont="1" applyAlignment="1">
      <alignment horizontal="center" vertical="center" wrapText="1"/>
    </xf>
    <xf numFmtId="0" fontId="14" fillId="0" borderId="0" xfId="0" applyFont="1" applyAlignment="1">
      <alignment wrapText="1"/>
    </xf>
    <xf numFmtId="0" fontId="26" fillId="0" borderId="4" xfId="0" applyFont="1" applyBorder="1" applyAlignment="1">
      <alignment horizontal="center" vertical="center" wrapText="1"/>
    </xf>
    <xf numFmtId="0" fontId="14" fillId="0" borderId="4" xfId="0" applyFont="1" applyBorder="1" applyAlignment="1">
      <alignment wrapText="1"/>
    </xf>
    <xf numFmtId="0" fontId="26" fillId="11" borderId="8" xfId="0" applyFont="1" applyFill="1" applyBorder="1" applyAlignment="1">
      <alignment horizontal="center" vertical="center" wrapText="1"/>
    </xf>
    <xf numFmtId="0" fontId="14" fillId="11" borderId="8" xfId="0" applyFont="1" applyFill="1" applyBorder="1" applyAlignment="1">
      <alignment wrapText="1"/>
    </xf>
    <xf numFmtId="0" fontId="26" fillId="11" borderId="0" xfId="0" applyFont="1" applyFill="1" applyAlignment="1">
      <alignment horizontal="center" vertical="center" wrapText="1"/>
    </xf>
    <xf numFmtId="0" fontId="14" fillId="11" borderId="0" xfId="0" applyFont="1" applyFill="1" applyAlignment="1">
      <alignment wrapText="1"/>
    </xf>
    <xf numFmtId="0" fontId="26" fillId="11" borderId="4" xfId="0" applyFont="1" applyFill="1" applyBorder="1" applyAlignment="1">
      <alignment horizontal="center" vertical="center" wrapText="1"/>
    </xf>
    <xf numFmtId="0" fontId="14" fillId="11" borderId="4" xfId="0" applyFont="1" applyFill="1" applyBorder="1" applyAlignment="1">
      <alignment wrapText="1"/>
    </xf>
    <xf numFmtId="0" fontId="26" fillId="0" borderId="8" xfId="0" applyFont="1" applyBorder="1" applyAlignment="1">
      <alignment horizontal="center" vertical="center" wrapText="1"/>
    </xf>
    <xf numFmtId="0" fontId="14" fillId="0" borderId="8" xfId="0" applyFont="1" applyBorder="1" applyAlignment="1">
      <alignment wrapText="1"/>
    </xf>
    <xf numFmtId="0" fontId="8" fillId="5" borderId="0" xfId="0" applyFont="1" applyFill="1" applyAlignment="1">
      <alignment horizontal="left" vertical="center" wrapText="1"/>
    </xf>
    <xf numFmtId="180" fontId="21" fillId="0" borderId="0" xfId="0" applyNumberFormat="1" applyFont="1" applyAlignment="1">
      <alignment wrapText="1"/>
    </xf>
    <xf numFmtId="0" fontId="14" fillId="12" borderId="0" xfId="0" applyFont="1" applyFill="1" applyAlignment="1">
      <alignment horizontal="center"/>
    </xf>
    <xf numFmtId="0" fontId="12" fillId="0" borderId="0" xfId="0" applyFont="1" applyAlignment="1">
      <alignment wrapText="1"/>
    </xf>
    <xf numFmtId="10" fontId="21" fillId="0" borderId="0" xfId="0" applyNumberFormat="1" applyFont="1" applyAlignment="1">
      <alignment wrapText="1"/>
    </xf>
    <xf numFmtId="0" fontId="14" fillId="13" borderId="0" xfId="0" applyFont="1" applyFill="1" applyAlignment="1">
      <alignment horizontal="center"/>
    </xf>
    <xf numFmtId="9" fontId="21" fillId="0" borderId="4" xfId="0" applyNumberFormat="1" applyFont="1" applyBorder="1" applyAlignment="1">
      <alignment wrapText="1"/>
    </xf>
    <xf numFmtId="0" fontId="14" fillId="12" borderId="4" xfId="0" applyFont="1" applyFill="1" applyBorder="1" applyAlignment="1">
      <alignment horizontal="center"/>
    </xf>
    <xf numFmtId="0" fontId="12" fillId="0" borderId="4" xfId="0" applyFont="1" applyBorder="1" applyAlignment="1">
      <alignment wrapText="1"/>
    </xf>
    <xf numFmtId="180" fontId="21" fillId="11" borderId="0" xfId="0" applyNumberFormat="1" applyFont="1" applyFill="1" applyAlignment="1">
      <alignment wrapText="1"/>
    </xf>
    <xf numFmtId="0" fontId="14" fillId="12" borderId="8" xfId="0" applyFont="1" applyFill="1" applyBorder="1" applyAlignment="1">
      <alignment horizontal="center"/>
    </xf>
    <xf numFmtId="9" fontId="21" fillId="11" borderId="0" xfId="0" applyNumberFormat="1" applyFont="1" applyFill="1" applyAlignment="1">
      <alignment wrapText="1"/>
    </xf>
    <xf numFmtId="0" fontId="21" fillId="11" borderId="0" xfId="0" applyFont="1" applyFill="1" applyAlignment="1">
      <alignment wrapText="1"/>
    </xf>
    <xf numFmtId="0" fontId="12" fillId="11" borderId="0" xfId="0" applyFont="1" applyFill="1" applyAlignment="1">
      <alignment wrapText="1"/>
    </xf>
    <xf numFmtId="3" fontId="21" fillId="11" borderId="0" xfId="0" applyNumberFormat="1" applyFont="1" applyFill="1" applyAlignment="1">
      <alignment wrapText="1"/>
    </xf>
    <xf numFmtId="0" fontId="27" fillId="11" borderId="4" xfId="0" applyFont="1" applyFill="1" applyBorder="1" applyAlignment="1">
      <alignment horizontal="right" wrapText="1"/>
    </xf>
    <xf numFmtId="0" fontId="14" fillId="13" borderId="4" xfId="0" applyFont="1" applyFill="1" applyBorder="1" applyAlignment="1">
      <alignment horizontal="center"/>
    </xf>
    <xf numFmtId="180" fontId="21" fillId="0" borderId="8" xfId="0" applyNumberFormat="1" applyFont="1" applyBorder="1" applyAlignment="1">
      <alignment wrapText="1"/>
    </xf>
    <xf numFmtId="0" fontId="12" fillId="0" borderId="8" xfId="0" applyFont="1" applyBorder="1" applyAlignment="1">
      <alignment wrapText="1"/>
    </xf>
    <xf numFmtId="0" fontId="21" fillId="11" borderId="8" xfId="0" applyFont="1" applyFill="1" applyBorder="1" applyAlignment="1">
      <alignment wrapText="1"/>
    </xf>
    <xf numFmtId="0" fontId="12" fillId="11" borderId="8" xfId="0" applyFont="1" applyFill="1" applyBorder="1" applyAlignment="1">
      <alignment wrapText="1"/>
    </xf>
    <xf numFmtId="10" fontId="21" fillId="11" borderId="0" xfId="0" applyNumberFormat="1" applyFont="1" applyFill="1" applyAlignment="1">
      <alignment wrapText="1"/>
    </xf>
    <xf numFmtId="3" fontId="21" fillId="11" borderId="4" xfId="0" applyNumberFormat="1" applyFont="1" applyFill="1" applyBorder="1" applyAlignment="1">
      <alignment wrapText="1"/>
    </xf>
    <xf numFmtId="0" fontId="14" fillId="13" borderId="8" xfId="0" applyFont="1" applyFill="1" applyBorder="1" applyAlignment="1">
      <alignment horizontal="center"/>
    </xf>
    <xf numFmtId="10" fontId="21" fillId="0" borderId="4" xfId="0" applyNumberFormat="1" applyFont="1" applyBorder="1" applyAlignment="1">
      <alignment wrapText="1"/>
    </xf>
    <xf numFmtId="0" fontId="2" fillId="0" borderId="3" xfId="0" applyFont="1" applyBorder="1" applyAlignment="1">
      <alignment horizontal="right"/>
    </xf>
    <xf numFmtId="0" fontId="26" fillId="0" borderId="0" xfId="0" applyFont="1" applyAlignment="1">
      <alignment horizontal="right" vertical="center" wrapText="1"/>
    </xf>
    <xf numFmtId="0" fontId="28" fillId="0" borderId="0" xfId="0" applyFont="1"/>
    <xf numFmtId="0" fontId="29" fillId="0" borderId="0" xfId="0" applyFont="1"/>
    <xf numFmtId="0" fontId="29" fillId="0" borderId="0" xfId="0" applyFont="1" applyAlignment="1">
      <alignment horizontal="right"/>
    </xf>
    <xf numFmtId="0" fontId="30" fillId="5" borderId="0" xfId="0" applyFont="1" applyFill="1" applyAlignment="1">
      <alignment vertical="center"/>
    </xf>
    <xf numFmtId="0" fontId="30" fillId="5" borderId="0" xfId="0" applyFont="1" applyFill="1" applyAlignment="1">
      <alignment vertical="center" wrapText="1"/>
    </xf>
    <xf numFmtId="0" fontId="30" fillId="5" borderId="0" xfId="0" applyFont="1" applyFill="1" applyAlignment="1">
      <alignment horizontal="left" vertical="center" wrapText="1"/>
    </xf>
    <xf numFmtId="0" fontId="14" fillId="6" borderId="9" xfId="0" applyFont="1" applyFill="1" applyBorder="1" applyAlignment="1">
      <alignment horizontal="center" vertical="center" wrapText="1"/>
    </xf>
    <xf numFmtId="0" fontId="14" fillId="0" borderId="10" xfId="0" applyFont="1" applyBorder="1" applyAlignment="1">
      <alignment horizontal="center" vertical="center" wrapText="1"/>
    </xf>
    <xf numFmtId="0" fontId="14" fillId="0" borderId="0" xfId="0" applyFont="1" applyAlignment="1">
      <alignment vertical="center" wrapText="1"/>
    </xf>
    <xf numFmtId="9" fontId="21" fillId="0" borderId="0" xfId="3" applyFont="1" applyAlignment="1">
      <alignment horizontal="center" vertical="center" wrapText="1"/>
    </xf>
    <xf numFmtId="0" fontId="14" fillId="6" borderId="11" xfId="0" applyFont="1" applyFill="1" applyBorder="1" applyAlignment="1">
      <alignment horizontal="center" vertical="center" wrapText="1"/>
    </xf>
    <xf numFmtId="9" fontId="21" fillId="0" borderId="0" xfId="0" applyNumberFormat="1" applyFont="1" applyAlignment="1">
      <alignment horizontal="center" vertical="center" wrapText="1"/>
    </xf>
    <xf numFmtId="0" fontId="14" fillId="6" borderId="10" xfId="0" applyFont="1" applyFill="1" applyBorder="1" applyAlignment="1">
      <alignment horizontal="center" vertical="center"/>
    </xf>
    <xf numFmtId="0" fontId="14" fillId="6" borderId="0" xfId="0" applyFont="1" applyFill="1" applyAlignment="1">
      <alignment vertical="center" wrapText="1"/>
    </xf>
    <xf numFmtId="0" fontId="21" fillId="6" borderId="0" xfId="0" applyFont="1" applyFill="1" applyAlignment="1">
      <alignment horizontal="center" vertical="center"/>
    </xf>
    <xf numFmtId="9" fontId="21" fillId="6" borderId="0" xfId="3" applyFont="1" applyFill="1" applyAlignment="1">
      <alignment horizontal="center" vertical="center" wrapText="1"/>
    </xf>
    <xf numFmtId="9" fontId="21" fillId="6" borderId="0" xfId="0" applyNumberFormat="1" applyFont="1" applyFill="1" applyAlignment="1">
      <alignment horizontal="center" vertical="center" wrapText="1"/>
    </xf>
    <xf numFmtId="177" fontId="21" fillId="6" borderId="0" xfId="2" applyFont="1" applyFill="1" applyAlignment="1">
      <alignment horizontal="center" vertical="center" wrapText="1"/>
    </xf>
    <xf numFmtId="179" fontId="21" fillId="6" borderId="0" xfId="2" applyNumberFormat="1" applyFont="1" applyFill="1" applyAlignment="1">
      <alignment horizontal="center" vertical="center"/>
    </xf>
    <xf numFmtId="0" fontId="31" fillId="14" borderId="0" xfId="0" applyFont="1" applyFill="1" applyAlignment="1">
      <alignment vertical="center" wrapText="1"/>
    </xf>
    <xf numFmtId="9" fontId="21" fillId="6" borderId="0" xfId="3" applyFont="1" applyFill="1" applyAlignment="1">
      <alignment horizontal="center" vertical="center"/>
    </xf>
    <xf numFmtId="0" fontId="14" fillId="11" borderId="0" xfId="0" applyFont="1" applyFill="1" applyAlignment="1">
      <alignment horizontal="center" wrapText="1"/>
    </xf>
    <xf numFmtId="1" fontId="14" fillId="11" borderId="0" xfId="0" applyNumberFormat="1" applyFont="1" applyFill="1" applyAlignment="1">
      <alignment horizontal="center" wrapText="1"/>
    </xf>
    <xf numFmtId="0" fontId="14" fillId="0" borderId="10" xfId="0" applyFont="1" applyBorder="1" applyAlignment="1">
      <alignment horizontal="center" vertical="center"/>
    </xf>
    <xf numFmtId="176" fontId="21" fillId="0" borderId="0" xfId="1" applyFont="1" applyAlignment="1">
      <alignment horizontal="center" vertical="center"/>
    </xf>
    <xf numFmtId="178" fontId="21" fillId="0" borderId="0" xfId="1" applyNumberFormat="1" applyFont="1" applyAlignment="1">
      <alignment horizontal="center" vertical="center"/>
    </xf>
    <xf numFmtId="179" fontId="21" fillId="0" borderId="0" xfId="2" applyNumberFormat="1" applyFont="1" applyAlignment="1">
      <alignment horizontal="center" vertical="center"/>
    </xf>
    <xf numFmtId="176" fontId="21" fillId="6" borderId="0" xfId="1" applyFont="1" applyFill="1" applyAlignment="1">
      <alignment horizontal="center" vertical="center"/>
    </xf>
    <xf numFmtId="178" fontId="21" fillId="6" borderId="0" xfId="1" applyNumberFormat="1" applyFont="1" applyFill="1" applyAlignment="1">
      <alignment horizontal="center" vertical="center"/>
    </xf>
    <xf numFmtId="179" fontId="21" fillId="6" borderId="0" xfId="2" applyNumberFormat="1" applyFont="1" applyFill="1" applyAlignment="1">
      <alignment horizontal="center" vertical="center" wrapText="1"/>
    </xf>
    <xf numFmtId="176" fontId="21" fillId="0" borderId="0" xfId="1" applyFont="1" applyBorder="1" applyAlignment="1">
      <alignment horizontal="center" vertical="center"/>
    </xf>
    <xf numFmtId="0" fontId="21" fillId="0" borderId="0" xfId="0" applyFont="1" applyAlignment="1">
      <alignment horizontal="center" vertical="center"/>
    </xf>
    <xf numFmtId="0" fontId="14" fillId="6" borderId="12" xfId="0" applyFont="1" applyFill="1" applyBorder="1" applyAlignment="1">
      <alignment horizontal="center" vertical="center" wrapText="1"/>
    </xf>
    <xf numFmtId="0" fontId="14" fillId="0" borderId="13" xfId="0" applyFont="1" applyBorder="1" applyAlignment="1">
      <alignment horizontal="center" vertical="center"/>
    </xf>
    <xf numFmtId="0" fontId="14" fillId="0" borderId="4" xfId="0" applyFont="1" applyBorder="1" applyAlignment="1">
      <alignment vertical="center" wrapText="1"/>
    </xf>
    <xf numFmtId="179" fontId="21" fillId="0" borderId="4" xfId="2" applyNumberFormat="1" applyFont="1" applyBorder="1" applyAlignment="1">
      <alignment horizontal="center" vertical="center"/>
    </xf>
    <xf numFmtId="0" fontId="2" fillId="0" borderId="9" xfId="0" applyFont="1" applyBorder="1" applyAlignment="1">
      <alignment horizontal="center" vertical="center"/>
    </xf>
    <xf numFmtId="0" fontId="14" fillId="6" borderId="14" xfId="0" applyFont="1" applyFill="1" applyBorder="1" applyAlignment="1">
      <alignment horizontal="center" vertical="center"/>
    </xf>
    <xf numFmtId="0" fontId="14" fillId="6" borderId="8" xfId="0" applyFont="1" applyFill="1" applyBorder="1" applyAlignment="1">
      <alignment vertical="center" wrapText="1"/>
    </xf>
    <xf numFmtId="9" fontId="21" fillId="9" borderId="8" xfId="3" applyNumberFormat="1" applyFont="1" applyFill="1" applyBorder="1" applyAlignment="1">
      <alignment horizontal="center" vertical="center"/>
    </xf>
    <xf numFmtId="0" fontId="2" fillId="0" borderId="11" xfId="0" applyFont="1" applyBorder="1" applyAlignment="1">
      <alignment horizontal="center" vertical="center"/>
    </xf>
    <xf numFmtId="9" fontId="21" fillId="9" borderId="0" xfId="3" applyNumberFormat="1" applyFont="1" applyFill="1" applyBorder="1" applyAlignment="1">
      <alignment horizontal="center" vertical="center"/>
    </xf>
    <xf numFmtId="9" fontId="21" fillId="6" borderId="0" xfId="3" applyFont="1" applyFill="1" applyBorder="1" applyAlignment="1">
      <alignment horizontal="center" vertical="center"/>
    </xf>
    <xf numFmtId="0" fontId="21" fillId="9" borderId="0" xfId="0" applyFont="1" applyFill="1" applyAlignment="1">
      <alignment horizontal="center" vertical="center"/>
    </xf>
    <xf numFmtId="0" fontId="2" fillId="0" borderId="3" xfId="0" applyFont="1" applyBorder="1" applyAlignment="1">
      <alignment horizontal="left" wrapText="1"/>
    </xf>
    <xf numFmtId="0" fontId="29" fillId="0" borderId="0" xfId="0" applyFont="1" applyAlignment="1">
      <alignment horizontal="left" wrapText="1"/>
    </xf>
    <xf numFmtId="0" fontId="32" fillId="9" borderId="0" xfId="0" applyFont="1" applyFill="1"/>
    <xf numFmtId="0" fontId="14" fillId="0" borderId="0" xfId="0" applyFont="1" applyAlignment="1">
      <alignment horizontal="left" vertical="center" wrapText="1"/>
    </xf>
    <xf numFmtId="0" fontId="33" fillId="0" borderId="0" xfId="0" applyFont="1"/>
    <xf numFmtId="0" fontId="14" fillId="6" borderId="0" xfId="0" applyFont="1" applyFill="1" applyAlignment="1">
      <alignment horizontal="left" vertical="center" wrapText="1"/>
    </xf>
    <xf numFmtId="0" fontId="14" fillId="6" borderId="0" xfId="6" applyFont="1" applyFill="1" applyBorder="1" applyAlignment="1">
      <alignment horizontal="left" vertical="center" wrapText="1"/>
    </xf>
    <xf numFmtId="0" fontId="10" fillId="6" borderId="0" xfId="6" applyFont="1" applyFill="1" applyBorder="1" applyAlignment="1">
      <alignment horizontal="left" vertical="center" wrapText="1"/>
    </xf>
    <xf numFmtId="0" fontId="14" fillId="0" borderId="0" xfId="6" applyFont="1" applyFill="1" applyBorder="1" applyAlignment="1">
      <alignment horizontal="left" vertical="center" wrapText="1"/>
    </xf>
    <xf numFmtId="0" fontId="14" fillId="0" borderId="4" xfId="6" applyFont="1" applyFill="1" applyBorder="1" applyAlignment="1">
      <alignment horizontal="left" vertical="center" wrapText="1"/>
    </xf>
    <xf numFmtId="0" fontId="2" fillId="6" borderId="8" xfId="0" applyFont="1" applyFill="1" applyBorder="1" applyAlignment="1">
      <alignment horizontal="left" wrapText="1"/>
    </xf>
    <xf numFmtId="0" fontId="2" fillId="6" borderId="0" xfId="0" applyFont="1" applyFill="1" applyAlignment="1">
      <alignment horizontal="left" wrapText="1"/>
    </xf>
    <xf numFmtId="0" fontId="34" fillId="0" borderId="0" xfId="0" applyFont="1"/>
    <xf numFmtId="0" fontId="33" fillId="0" borderId="0" xfId="0" applyFont="1" applyAlignment="1"/>
    <xf numFmtId="179" fontId="21" fillId="0" borderId="0" xfId="2" applyNumberFormat="1" applyFont="1" applyBorder="1" applyAlignment="1">
      <alignment horizontal="center" vertical="center"/>
    </xf>
    <xf numFmtId="179" fontId="21" fillId="6" borderId="0" xfId="0" applyNumberFormat="1" applyFont="1" applyFill="1" applyAlignment="1">
      <alignment horizontal="center" vertical="center"/>
    </xf>
    <xf numFmtId="179" fontId="21" fillId="6" borderId="0" xfId="2" applyNumberFormat="1" applyFont="1" applyFill="1" applyBorder="1" applyAlignment="1">
      <alignment horizontal="center" vertical="center"/>
    </xf>
    <xf numFmtId="179" fontId="21" fillId="0" borderId="0" xfId="0" applyNumberFormat="1" applyFont="1" applyAlignment="1">
      <alignment horizontal="center" vertical="center"/>
    </xf>
    <xf numFmtId="0" fontId="2" fillId="0" borderId="12" xfId="0" applyFont="1" applyBorder="1" applyAlignment="1">
      <alignment horizontal="center" vertical="center"/>
    </xf>
    <xf numFmtId="179" fontId="21" fillId="0" borderId="4" xfId="0" applyNumberFormat="1" applyFont="1" applyBorder="1" applyAlignment="1">
      <alignment horizontal="center" vertical="center"/>
    </xf>
    <xf numFmtId="0" fontId="2" fillId="0" borderId="4" xfId="0" applyFont="1" applyBorder="1" applyAlignment="1">
      <alignment horizontal="left" wrapText="1"/>
    </xf>
    <xf numFmtId="0" fontId="2" fillId="3" borderId="0" xfId="0" applyFont="1" applyFill="1"/>
    <xf numFmtId="0" fontId="35" fillId="3" borderId="0" xfId="0" applyFont="1" applyFill="1" applyAlignment="1">
      <alignment horizontal="left" vertical="center" wrapText="1"/>
    </xf>
    <xf numFmtId="0" fontId="2" fillId="3" borderId="0" xfId="0" applyFont="1" applyFill="1" applyAlignment="1">
      <alignment horizontal="left" vertical="top" wrapText="1"/>
    </xf>
    <xf numFmtId="0" fontId="14" fillId="3" borderId="0" xfId="0" applyFont="1" applyFill="1" applyAlignment="1">
      <alignment horizontal="left" vertical="top" wrapText="1"/>
    </xf>
    <xf numFmtId="0" fontId="35" fillId="3" borderId="0" xfId="0" applyFont="1" applyFill="1" applyAlignment="1">
      <alignment horizontal="left" vertical="center"/>
    </xf>
    <xf numFmtId="181" fontId="2" fillId="15" borderId="0" xfId="0" applyNumberFormat="1" applyFont="1" applyFill="1" applyAlignment="1">
      <alignment horizontal="center" vertical="center"/>
    </xf>
    <xf numFmtId="0" fontId="36" fillId="15" borderId="3" xfId="0" applyFont="1" applyFill="1" applyBorder="1" applyAlignment="1">
      <alignment horizontal="center" vertical="center" wrapText="1"/>
    </xf>
    <xf numFmtId="0" fontId="34" fillId="15" borderId="15" xfId="0" applyFont="1" applyFill="1" applyBorder="1" applyAlignment="1">
      <alignment horizontal="center" vertical="center" wrapText="1"/>
    </xf>
    <xf numFmtId="181" fontId="2" fillId="15" borderId="15" xfId="0" applyNumberFormat="1" applyFont="1" applyFill="1" applyBorder="1" applyAlignment="1">
      <alignment horizontal="center" vertical="center" wrapText="1"/>
    </xf>
    <xf numFmtId="0" fontId="34" fillId="15" borderId="0" xfId="0" applyFont="1" applyFill="1" applyAlignment="1">
      <alignment horizontal="center" vertical="center" wrapText="1"/>
    </xf>
    <xf numFmtId="181" fontId="2" fillId="15" borderId="0" xfId="0" applyNumberFormat="1" applyFont="1" applyFill="1" applyAlignment="1">
      <alignment horizontal="center" vertical="center" wrapText="1"/>
    </xf>
    <xf numFmtId="0" fontId="34" fillId="15" borderId="4" xfId="0" applyFont="1" applyFill="1" applyBorder="1" applyAlignment="1">
      <alignment horizontal="center" vertical="center" wrapText="1"/>
    </xf>
    <xf numFmtId="181" fontId="2" fillId="15" borderId="4" xfId="0" applyNumberFormat="1" applyFont="1" applyFill="1" applyBorder="1" applyAlignment="1">
      <alignment horizontal="center" vertical="center" wrapText="1"/>
    </xf>
    <xf numFmtId="181" fontId="2" fillId="15" borderId="8" xfId="0" applyNumberFormat="1" applyFont="1" applyFill="1" applyBorder="1" applyAlignment="1">
      <alignment horizontal="center" vertical="center" wrapText="1"/>
    </xf>
    <xf numFmtId="0" fontId="2" fillId="3" borderId="0" xfId="0" applyFont="1" applyFill="1" applyAlignment="1">
      <alignment horizontal="left" vertical="center" wrapText="1"/>
    </xf>
    <xf numFmtId="0" fontId="2" fillId="3" borderId="15"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7" fillId="3" borderId="0" xfId="0" applyFont="1" applyFill="1" applyAlignment="1">
      <alignment horizontal="left" vertical="center" wrapText="1"/>
    </xf>
    <xf numFmtId="0" fontId="25" fillId="3" borderId="0" xfId="0" applyFont="1" applyFill="1"/>
    <xf numFmtId="0" fontId="2" fillId="15" borderId="0" xfId="0" applyFont="1" applyFill="1"/>
    <xf numFmtId="0" fontId="34" fillId="15" borderId="16" xfId="0" applyFont="1" applyFill="1" applyBorder="1" applyAlignment="1">
      <alignment horizontal="left" vertical="center"/>
    </xf>
    <xf numFmtId="181" fontId="2" fillId="15" borderId="16" xfId="0" applyNumberFormat="1" applyFont="1" applyFill="1" applyBorder="1" applyAlignment="1">
      <alignment horizontal="center" vertical="center"/>
    </xf>
    <xf numFmtId="0" fontId="34" fillId="15" borderId="7" xfId="0" applyFont="1" applyFill="1" applyBorder="1" applyAlignment="1">
      <alignment horizontal="left" vertical="center" wrapText="1"/>
    </xf>
    <xf numFmtId="181" fontId="2" fillId="15" borderId="7" xfId="0" applyNumberFormat="1" applyFont="1" applyFill="1" applyBorder="1" applyAlignment="1">
      <alignment horizontal="center" vertical="center"/>
    </xf>
    <xf numFmtId="0" fontId="34" fillId="15" borderId="0" xfId="0" applyFont="1" applyFill="1" applyAlignment="1">
      <alignment horizontal="left" vertical="center" wrapText="1"/>
    </xf>
    <xf numFmtId="0" fontId="34" fillId="3" borderId="4" xfId="0" applyFont="1" applyFill="1" applyBorder="1" applyAlignment="1">
      <alignment horizontal="left" vertical="center" wrapText="1"/>
    </xf>
    <xf numFmtId="181" fontId="2" fillId="15" borderId="4" xfId="0" applyNumberFormat="1" applyFont="1" applyFill="1" applyBorder="1" applyAlignment="1">
      <alignment horizontal="center" vertical="center"/>
    </xf>
    <xf numFmtId="0" fontId="34" fillId="3" borderId="0" xfId="0" applyFont="1" applyFill="1" applyAlignment="1">
      <alignment horizontal="left" vertical="center" wrapText="1"/>
    </xf>
    <xf numFmtId="0" fontId="2" fillId="15" borderId="4" xfId="0" applyFont="1" applyFill="1" applyBorder="1" applyAlignment="1">
      <alignment horizontal="center" vertical="center"/>
    </xf>
    <xf numFmtId="0" fontId="38" fillId="3" borderId="0" xfId="0" applyFont="1" applyFill="1" applyAlignment="1">
      <alignment horizontal="center"/>
    </xf>
    <xf numFmtId="0" fontId="2" fillId="15" borderId="0" xfId="0" applyFont="1" applyFill="1" applyAlignment="1">
      <alignment horizontal="center" vertical="center"/>
    </xf>
    <xf numFmtId="182" fontId="34" fillId="15" borderId="0" xfId="0" applyNumberFormat="1" applyFont="1" applyFill="1" applyAlignment="1">
      <alignment horizontal="left"/>
    </xf>
    <xf numFmtId="0" fontId="2" fillId="3" borderId="16" xfId="0" applyFont="1" applyFill="1" applyBorder="1" applyAlignment="1">
      <alignment horizontal="left" vertical="center" wrapText="1"/>
    </xf>
    <xf numFmtId="0" fontId="2" fillId="3" borderId="7" xfId="0" applyFont="1" applyFill="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Currency 2" xfId="50"/>
    <cellStyle name="Normal 2" xfId="51"/>
    <cellStyle name="Normal 3" xfId="52"/>
    <cellStyle name="Percent 2" xfId="53"/>
  </cellStyles>
  <tableStyles count="0" defaultTableStyle="TableStyleMedium2" defaultPivotStyle="PivotStyleLight16"/>
  <colors>
    <mruColors>
      <color rgb="00070299"/>
      <color rgb="00CDCCFF"/>
      <color rgb="00FFB171"/>
      <color rgb="00D25F00"/>
      <color rgb="00EE6C00"/>
      <color rgb="00FFDFC5"/>
      <color rgb="00FFC1C1"/>
      <color rgb="00FFBDBD"/>
      <color rgb="00FFD1D1"/>
      <color rgb="00FFF3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72573</xdr:rowOff>
    </xdr:from>
    <xdr:to>
      <xdr:col>2</xdr:col>
      <xdr:colOff>2485571</xdr:colOff>
      <xdr:row>5</xdr:row>
      <xdr:rowOff>145144</xdr:rowOff>
    </xdr:to>
    <xdr:sp>
      <xdr:nvSpPr>
        <xdr:cNvPr id="2" name="Rounded Rectangle 1"/>
        <xdr:cNvSpPr/>
      </xdr:nvSpPr>
      <xdr:spPr>
        <a:xfrm>
          <a:off x="199390" y="72390"/>
          <a:ext cx="2914015" cy="146939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79375</xdr:rowOff>
    </xdr:to>
    <xdr:sp>
      <xdr:nvSpPr>
        <xdr:cNvPr id="2" name="Rounded Rectangle 1"/>
        <xdr:cNvSpPr/>
      </xdr:nvSpPr>
      <xdr:spPr>
        <a:xfrm>
          <a:off x="199390" y="72390"/>
          <a:ext cx="2914015" cy="140398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4</xdr:row>
      <xdr:rowOff>254000</xdr:rowOff>
    </xdr:to>
    <xdr:sp>
      <xdr:nvSpPr>
        <xdr:cNvPr id="2" name="Rounded Rectangle 1"/>
        <xdr:cNvSpPr/>
      </xdr:nvSpPr>
      <xdr:spPr>
        <a:xfrm>
          <a:off x="199390" y="72390"/>
          <a:ext cx="2914015" cy="130556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twoCellAnchor editAs="oneCell">
    <xdr:from>
      <xdr:col>2</xdr:col>
      <xdr:colOff>54428</xdr:colOff>
      <xdr:row>21</xdr:row>
      <xdr:rowOff>90713</xdr:rowOff>
    </xdr:from>
    <xdr:to>
      <xdr:col>5</xdr:col>
      <xdr:colOff>357033</xdr:colOff>
      <xdr:row>35</xdr:row>
      <xdr:rowOff>36285</xdr:rowOff>
    </xdr:to>
    <xdr:pic>
      <xdr:nvPicPr>
        <xdr:cNvPr id="4" name="Picture 3"/>
        <xdr:cNvPicPr>
          <a:picLocks noChangeAspect="1"/>
        </xdr:cNvPicPr>
      </xdr:nvPicPr>
      <xdr:blipFill>
        <a:blip r:embed="rId2"/>
        <a:stretch>
          <a:fillRect/>
        </a:stretch>
      </xdr:blipFill>
      <xdr:spPr>
        <a:xfrm>
          <a:off x="681990" y="5064125"/>
          <a:ext cx="5766435" cy="2933065"/>
        </a:xfrm>
        <a:prstGeom prst="rect">
          <a:avLst/>
        </a:prstGeom>
        <a:ln>
          <a:solidFill>
            <a:schemeClr val="tx1"/>
          </a:solidFill>
        </a:ln>
      </xdr:spPr>
    </xdr:pic>
    <xdr:clientData/>
  </xdr:twoCellAnchor>
</xdr:wsDr>
</file>

<file path=xl/tables/table1.xml><?xml version="1.0" encoding="utf-8"?>
<table xmlns="http://schemas.openxmlformats.org/spreadsheetml/2006/main" id="4" name="Table4" displayName="Table4" ref="A1:A4" totalsRowShown="0">
  <autoFilter ref="A1:A4"/>
  <tableColumns count="1">
    <tableColumn id="1" name="Revenue"/>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A6" totalsRowShown="0">
  <autoFilter ref="A1:A6"/>
  <tableColumns count="1">
    <tableColumn id="1" name="Costs"/>
  </tableColumns>
  <tableStyleInfo name="TableStyleMedium2" showFirstColumn="0" showLastColumn="0" showRowStripes="1" showColumnStripes="0"/>
</table>
</file>

<file path=xl/tables/table3.xml><?xml version="1.0" encoding="utf-8"?>
<table xmlns="http://schemas.openxmlformats.org/spreadsheetml/2006/main" id="6" name="Table8" displayName="Table8" ref="A1:A4" totalsRowShown="0">
  <autoFilter ref="A1:A4"/>
  <tableColumns count="1">
    <tableColumn id="1" name="Scenario_Togg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nces.ed.gov/programs/digest/d18/tables/dt18_317.40.asp" TargetMode="External"/><Relationship Id="rId8" Type="http://schemas.openxmlformats.org/officeDocument/2006/relationships/hyperlink" Target="https://www.grandviewresearch.com/industry-analysis/ai-datasets-licensing-academic-research-publishing-market-report" TargetMode="External"/><Relationship Id="rId7" Type="http://schemas.openxmlformats.org/officeDocument/2006/relationships/hyperlink" Target="https://robertkelchen.com/2021/12/16/how-colleges-carnegie-classifications-have-changed-over-time-2/" TargetMode="External"/><Relationship Id="rId6" Type="http://schemas.openxmlformats.org/officeDocument/2006/relationships/hyperlink" Target="https://carnegieclassifications.acenet.edu/institutions/?inst=&amp;research2025%5B%5D=2" TargetMode="External"/><Relationship Id="rId5" Type="http://schemas.openxmlformats.org/officeDocument/2006/relationships/hyperlink" Target="https://carnegieclassifications.acenet.edu/institutions/?inst=&amp;research2025%5B%5D=1" TargetMode="External"/><Relationship Id="rId4" Type="http://schemas.openxmlformats.org/officeDocument/2006/relationships/hyperlink" Target="https://firstmonday.org/ojs/index.php/fm/article/view/4370/3685" TargetMode="External"/><Relationship Id="rId3" Type="http://schemas.openxmlformats.org/officeDocument/2006/relationships/hyperlink" Target="https://www.linkedin.com/pulse/hidden-fortune-academic-publishers-closer-look-industrys-kannan-cmxac/" TargetMode="External"/><Relationship Id="rId2" Type="http://schemas.openxmlformats.org/officeDocument/2006/relationships/hyperlink" Target="https://marketintelo.com/report/academic-publishing-market" TargetMode="External"/><Relationship Id="rId11" Type="http://schemas.openxmlformats.org/officeDocument/2006/relationships/hyperlink" Target="https://www.globalinsightservices.com/reports/academic-software-market/" TargetMode="External"/><Relationship Id="rId10" Type="http://schemas.openxmlformats.org/officeDocument/2006/relationships/hyperlink" Target="https://research-and-innovation.ec.europa.eu/system/files/2022-07/ec_rtd_srip-2022-report-chapter-6.pdf"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23"/>
  <sheetViews>
    <sheetView showGridLines="0" zoomScale="85" zoomScaleNormal="85" topLeftCell="A11" workbookViewId="0">
      <selection activeCell="M17" sqref="M17"/>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8" width="15.6607142857143" style="4" customWidth="1"/>
    <col min="9" max="16384" width="8.66071428571429" style="4"/>
  </cols>
  <sheetData>
    <row r="1" ht="10.5" customHeight="1"/>
    <row r="2" ht="38.5" customHeight="1" spans="2:8">
      <c r="B2" s="6"/>
      <c r="C2" s="6"/>
      <c r="D2" s="8" t="s">
        <v>0</v>
      </c>
      <c r="E2" s="8"/>
      <c r="F2" s="8"/>
      <c r="G2" s="8"/>
      <c r="H2" s="8"/>
    </row>
    <row r="3" ht="16" customHeight="1" spans="4:8">
      <c r="D3" s="9"/>
      <c r="E3" s="9"/>
      <c r="F3" s="9"/>
      <c r="G3" s="9"/>
      <c r="H3" s="9"/>
    </row>
    <row r="4" ht="23.5" customHeight="1" spans="4:8">
      <c r="D4" s="9" t="s">
        <v>1</v>
      </c>
      <c r="E4" s="9"/>
      <c r="F4" s="9"/>
      <c r="G4" s="9"/>
      <c r="H4" s="9"/>
    </row>
    <row r="5" ht="21.5" customHeight="1"/>
    <row r="6" ht="17.55" spans="1:27">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9" spans="2:9">
      <c r="B9" s="240"/>
      <c r="C9" s="240"/>
      <c r="D9" s="240"/>
      <c r="E9" s="240"/>
      <c r="F9" s="240"/>
      <c r="G9" s="240"/>
      <c r="H9" s="240"/>
      <c r="I9" s="240"/>
    </row>
    <row r="10" ht="14.5" customHeight="1" spans="2:9">
      <c r="B10" s="240"/>
      <c r="C10" s="240"/>
      <c r="D10" s="240"/>
      <c r="E10" s="240"/>
      <c r="F10" s="240"/>
      <c r="G10" s="240"/>
      <c r="H10" s="240"/>
      <c r="I10" s="240"/>
    </row>
    <row r="11" ht="20.4" spans="2:9">
      <c r="B11" s="240"/>
      <c r="C11" s="259" t="s">
        <v>2</v>
      </c>
      <c r="D11" s="240"/>
      <c r="E11" s="240"/>
      <c r="F11" s="240"/>
      <c r="G11" s="240"/>
      <c r="H11" s="240"/>
      <c r="I11" s="240"/>
    </row>
    <row r="12" spans="2:9">
      <c r="B12" s="240"/>
      <c r="C12" s="260"/>
      <c r="D12" s="260"/>
      <c r="E12" s="260"/>
      <c r="F12" s="240"/>
      <c r="G12" s="240"/>
      <c r="H12" s="240"/>
      <c r="I12" s="240"/>
    </row>
    <row r="13" ht="18.75" spans="2:9">
      <c r="B13" s="240"/>
      <c r="C13" s="246" t="s">
        <v>3</v>
      </c>
      <c r="D13" s="246" t="s">
        <v>4</v>
      </c>
      <c r="E13" s="246" t="s">
        <v>5</v>
      </c>
      <c r="F13" s="246"/>
      <c r="G13" s="246"/>
      <c r="H13" s="246"/>
      <c r="I13" s="240"/>
    </row>
    <row r="14" ht="32.5" customHeight="1" spans="2:9">
      <c r="B14" s="240"/>
      <c r="C14" s="261" t="s">
        <v>6</v>
      </c>
      <c r="D14" s="262">
        <v>1</v>
      </c>
      <c r="E14" s="273" t="s">
        <v>7</v>
      </c>
      <c r="F14" s="273"/>
      <c r="G14" s="273"/>
      <c r="H14" s="273"/>
      <c r="I14" s="240"/>
    </row>
    <row r="15" ht="45" customHeight="1" spans="2:9">
      <c r="B15" s="240"/>
      <c r="C15" s="263" t="s">
        <v>8</v>
      </c>
      <c r="D15" s="264">
        <v>2</v>
      </c>
      <c r="E15" s="274" t="s">
        <v>9</v>
      </c>
      <c r="F15" s="274"/>
      <c r="G15" s="274"/>
      <c r="H15" s="274"/>
      <c r="I15" s="240"/>
    </row>
    <row r="16" ht="32" customHeight="1" spans="2:9">
      <c r="B16" s="240"/>
      <c r="C16" s="265" t="s">
        <v>10</v>
      </c>
      <c r="D16" s="245">
        <v>3</v>
      </c>
      <c r="E16" s="254" t="s">
        <v>11</v>
      </c>
      <c r="F16" s="254"/>
      <c r="G16" s="254"/>
      <c r="H16" s="254"/>
      <c r="I16" s="240"/>
    </row>
    <row r="17" ht="31.5" customHeight="1" spans="2:9">
      <c r="B17" s="240"/>
      <c r="C17" s="266" t="s">
        <v>12</v>
      </c>
      <c r="D17" s="267">
        <v>3.1</v>
      </c>
      <c r="E17" s="256" t="s">
        <v>13</v>
      </c>
      <c r="F17" s="256"/>
      <c r="G17" s="256"/>
      <c r="H17" s="256"/>
      <c r="I17" s="240"/>
    </row>
    <row r="18" ht="32.5" customHeight="1" spans="2:9">
      <c r="B18" s="240"/>
      <c r="C18" s="268" t="s">
        <v>14</v>
      </c>
      <c r="D18" s="245">
        <v>4</v>
      </c>
      <c r="E18" s="254" t="s">
        <v>15</v>
      </c>
      <c r="F18" s="254"/>
      <c r="G18" s="254"/>
      <c r="H18" s="254"/>
      <c r="I18" s="240"/>
    </row>
    <row r="19" ht="37.5" customHeight="1" spans="2:9">
      <c r="B19" s="240"/>
      <c r="C19" s="266" t="s">
        <v>16</v>
      </c>
      <c r="D19" s="269">
        <v>4.1</v>
      </c>
      <c r="E19" s="256" t="s">
        <v>17</v>
      </c>
      <c r="F19" s="256"/>
      <c r="G19" s="256"/>
      <c r="H19" s="256"/>
      <c r="I19" s="240"/>
    </row>
    <row r="20" ht="14" customHeight="1" spans="2:9">
      <c r="B20" s="240"/>
      <c r="C20" s="249"/>
      <c r="D20" s="245"/>
      <c r="E20" s="254"/>
      <c r="F20" s="254"/>
      <c r="G20" s="254"/>
      <c r="H20" s="254"/>
      <c r="I20" s="240"/>
    </row>
    <row r="21" spans="2:9">
      <c r="B21" s="240"/>
      <c r="C21" s="270"/>
      <c r="D21" s="271"/>
      <c r="E21" s="240"/>
      <c r="F21" s="240"/>
      <c r="G21" s="240"/>
      <c r="H21" s="240"/>
      <c r="I21" s="240"/>
    </row>
    <row r="22" spans="2:9">
      <c r="B22" s="240"/>
      <c r="C22" s="272">
        <v>45962</v>
      </c>
      <c r="D22" s="272"/>
      <c r="E22" s="272"/>
      <c r="F22" s="240"/>
      <c r="G22" s="240"/>
      <c r="H22" s="240"/>
      <c r="I22" s="240"/>
    </row>
    <row r="23" ht="14.5" customHeight="1" spans="2:9">
      <c r="B23" s="240"/>
      <c r="C23" s="240"/>
      <c r="D23" s="240"/>
      <c r="E23" s="240"/>
      <c r="F23" s="240"/>
      <c r="G23" s="240"/>
      <c r="H23" s="240"/>
      <c r="I23" s="240"/>
    </row>
  </sheetData>
  <mergeCells count="10">
    <mergeCell ref="D2:H2"/>
    <mergeCell ref="D3:H3"/>
    <mergeCell ref="D4:H4"/>
    <mergeCell ref="E13:H13"/>
    <mergeCell ref="E14:H14"/>
    <mergeCell ref="E15:H15"/>
    <mergeCell ref="E16:H16"/>
    <mergeCell ref="E17:H17"/>
    <mergeCell ref="E18:H18"/>
    <mergeCell ref="E19:H19"/>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34"/>
  <sheetViews>
    <sheetView showGridLines="0" zoomScale="65" zoomScaleNormal="65" workbookViewId="0">
      <selection activeCell="P58" sqref="P58"/>
    </sheetView>
  </sheetViews>
  <sheetFormatPr defaultColWidth="8.66071428571429" defaultRowHeight="16.8"/>
  <cols>
    <col min="1" max="1" width="4.5" style="4" customWidth="1"/>
    <col min="2" max="2" width="4.33035714285714" style="4" customWidth="1"/>
    <col min="3" max="3" width="36.6607142857143" style="4" customWidth="1"/>
    <col min="4" max="7" width="26.3303571428571" style="4" customWidth="1"/>
    <col min="8" max="8" width="28.6607142857143" style="4" customWidth="1"/>
    <col min="9" max="16384" width="8.66071428571429" style="4"/>
  </cols>
  <sheetData>
    <row r="1" ht="10.5" customHeight="1"/>
    <row r="2" ht="38.5" customHeight="1" spans="2:8">
      <c r="B2" s="6"/>
      <c r="C2" s="6"/>
      <c r="D2" s="8" t="s">
        <v>18</v>
      </c>
      <c r="E2" s="8"/>
      <c r="F2" s="8"/>
      <c r="G2" s="8"/>
      <c r="H2" s="8"/>
    </row>
    <row r="3" ht="16" customHeight="1" spans="4:8">
      <c r="D3" s="9"/>
      <c r="E3" s="9"/>
      <c r="F3" s="9"/>
      <c r="G3" s="9"/>
      <c r="H3" s="9"/>
    </row>
    <row r="4" ht="23.5" customHeight="1" spans="4:8">
      <c r="D4" s="9" t="s">
        <v>19</v>
      </c>
      <c r="E4" s="9"/>
      <c r="F4" s="9"/>
      <c r="G4" s="9"/>
      <c r="H4" s="9"/>
    </row>
    <row r="5" ht="21.5" customHeight="1" spans="4:8">
      <c r="D5" s="9" t="s">
        <v>20</v>
      </c>
      <c r="E5" s="9"/>
      <c r="F5" s="9"/>
      <c r="G5" s="9"/>
      <c r="H5" s="9"/>
    </row>
    <row r="6" ht="37" customHeight="1" spans="4:8">
      <c r="D6" s="9" t="s">
        <v>21</v>
      </c>
      <c r="E6" s="9"/>
      <c r="F6" s="9"/>
      <c r="G6" s="9"/>
      <c r="H6" s="9"/>
    </row>
    <row r="7" ht="17.55" spans="1:27">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10" spans="2:9">
      <c r="B10" s="240"/>
      <c r="C10" s="240"/>
      <c r="D10" s="240"/>
      <c r="E10" s="240"/>
      <c r="F10" s="240"/>
      <c r="G10" s="240"/>
      <c r="H10" s="240"/>
      <c r="I10" s="240"/>
    </row>
    <row r="11" ht="22" customHeight="1" spans="2:9">
      <c r="B11" s="240"/>
      <c r="C11" s="241" t="s">
        <v>22</v>
      </c>
      <c r="D11" s="241"/>
      <c r="E11" s="241"/>
      <c r="F11" s="241"/>
      <c r="G11" s="241"/>
      <c r="H11" s="241"/>
      <c r="I11" s="240"/>
    </row>
    <row r="12" ht="22" customHeight="1" spans="2:9">
      <c r="B12" s="240"/>
      <c r="C12" s="242" t="s">
        <v>23</v>
      </c>
      <c r="D12" s="242"/>
      <c r="E12" s="242"/>
      <c r="F12" s="242"/>
      <c r="G12" s="242"/>
      <c r="H12" s="242"/>
      <c r="I12" s="240"/>
    </row>
    <row r="13" ht="22" customHeight="1" spans="2:9">
      <c r="B13" s="240"/>
      <c r="C13" s="242" t="s">
        <v>24</v>
      </c>
      <c r="D13" s="242"/>
      <c r="E13" s="242"/>
      <c r="F13" s="242"/>
      <c r="G13" s="242"/>
      <c r="H13" s="242"/>
      <c r="I13" s="240"/>
    </row>
    <row r="14" ht="22" customHeight="1" spans="2:9">
      <c r="B14" s="240"/>
      <c r="C14" s="242" t="s">
        <v>25</v>
      </c>
      <c r="D14" s="242"/>
      <c r="E14" s="242"/>
      <c r="F14" s="242"/>
      <c r="G14" s="242"/>
      <c r="H14" s="242"/>
      <c r="I14" s="240"/>
    </row>
    <row r="15" ht="22" customHeight="1" spans="2:9">
      <c r="B15" s="240"/>
      <c r="C15" s="242" t="s">
        <v>26</v>
      </c>
      <c r="D15" s="242"/>
      <c r="E15" s="242"/>
      <c r="F15" s="242"/>
      <c r="G15" s="242"/>
      <c r="H15" s="242"/>
      <c r="I15" s="240"/>
    </row>
    <row r="16" ht="22" customHeight="1" spans="2:9">
      <c r="B16" s="240"/>
      <c r="C16" s="242" t="s">
        <v>27</v>
      </c>
      <c r="D16" s="242"/>
      <c r="E16" s="242"/>
      <c r="F16" s="242"/>
      <c r="G16" s="242"/>
      <c r="H16" s="242"/>
      <c r="I16" s="240"/>
    </row>
    <row r="17" ht="22" customHeight="1" spans="2:9">
      <c r="B17" s="240"/>
      <c r="C17" s="243"/>
      <c r="D17" s="243"/>
      <c r="E17" s="243"/>
      <c r="F17" s="243"/>
      <c r="G17" s="243"/>
      <c r="H17" s="243"/>
      <c r="I17" s="240"/>
    </row>
    <row r="18" ht="22" customHeight="1" spans="2:9">
      <c r="B18" s="240"/>
      <c r="C18" s="241" t="s">
        <v>28</v>
      </c>
      <c r="D18" s="241"/>
      <c r="E18" s="241"/>
      <c r="F18" s="241"/>
      <c r="G18" s="241"/>
      <c r="H18" s="241"/>
      <c r="I18" s="240"/>
    </row>
    <row r="19" ht="22" customHeight="1" spans="2:9">
      <c r="B19" s="240"/>
      <c r="C19" s="242" t="s">
        <v>29</v>
      </c>
      <c r="D19" s="242"/>
      <c r="E19" s="242"/>
      <c r="F19" s="242"/>
      <c r="G19" s="242"/>
      <c r="H19" s="242"/>
      <c r="I19" s="240"/>
    </row>
    <row r="20" ht="22" customHeight="1" spans="2:9">
      <c r="B20" s="240"/>
      <c r="C20" s="242" t="s">
        <v>30</v>
      </c>
      <c r="D20" s="242"/>
      <c r="E20" s="242"/>
      <c r="F20" s="242"/>
      <c r="G20" s="242"/>
      <c r="H20" s="242"/>
      <c r="I20" s="240"/>
    </row>
    <row r="21" ht="22" customHeight="1" spans="2:9">
      <c r="B21" s="240"/>
      <c r="C21" s="240"/>
      <c r="D21" s="240"/>
      <c r="E21" s="240"/>
      <c r="F21" s="240"/>
      <c r="G21" s="240"/>
      <c r="H21" s="240"/>
      <c r="I21" s="240"/>
    </row>
    <row r="22" ht="22" customHeight="1" spans="2:9">
      <c r="B22" s="240"/>
      <c r="C22" s="244" t="s">
        <v>31</v>
      </c>
      <c r="D22" s="245"/>
      <c r="E22" s="254"/>
      <c r="F22" s="254"/>
      <c r="G22" s="254"/>
      <c r="H22" s="254"/>
      <c r="I22" s="240"/>
    </row>
    <row r="23" ht="22" customHeight="1" spans="2:9">
      <c r="B23" s="240"/>
      <c r="C23" s="246" t="s">
        <v>32</v>
      </c>
      <c r="D23" s="246" t="s">
        <v>33</v>
      </c>
      <c r="E23" s="246" t="s">
        <v>34</v>
      </c>
      <c r="F23" s="246"/>
      <c r="G23" s="246"/>
      <c r="H23" s="246"/>
      <c r="I23" s="240"/>
    </row>
    <row r="24" ht="22" customHeight="1" spans="2:9">
      <c r="B24" s="240"/>
      <c r="C24" s="247" t="s">
        <v>35</v>
      </c>
      <c r="D24" s="248" t="s">
        <v>36</v>
      </c>
      <c r="E24" s="255" t="s">
        <v>37</v>
      </c>
      <c r="F24" s="255"/>
      <c r="G24" s="255"/>
      <c r="H24" s="255"/>
      <c r="I24" s="240"/>
    </row>
    <row r="25" ht="22" customHeight="1" spans="2:9">
      <c r="B25" s="240"/>
      <c r="C25" s="249" t="s">
        <v>38</v>
      </c>
      <c r="D25" s="250"/>
      <c r="E25" s="254"/>
      <c r="F25" s="254"/>
      <c r="G25" s="254"/>
      <c r="H25" s="254"/>
      <c r="I25" s="240"/>
    </row>
    <row r="26" ht="22" customHeight="1" spans="2:9">
      <c r="B26" s="240"/>
      <c r="C26" s="251" t="s">
        <v>39</v>
      </c>
      <c r="D26" s="252"/>
      <c r="E26" s="256"/>
      <c r="F26" s="256"/>
      <c r="G26" s="256"/>
      <c r="H26" s="256"/>
      <c r="I26" s="240"/>
    </row>
    <row r="27" ht="22" customHeight="1" spans="2:9">
      <c r="B27" s="240"/>
      <c r="C27" s="249" t="s">
        <v>40</v>
      </c>
      <c r="D27" s="253" t="s">
        <v>41</v>
      </c>
      <c r="E27" s="257" t="s">
        <v>42</v>
      </c>
      <c r="F27" s="257"/>
      <c r="G27" s="257"/>
      <c r="H27" s="257"/>
      <c r="I27" s="240"/>
    </row>
    <row r="28" ht="22" customHeight="1" spans="2:9">
      <c r="B28" s="240"/>
      <c r="C28" s="249" t="s">
        <v>43</v>
      </c>
      <c r="D28" s="250"/>
      <c r="E28" s="254"/>
      <c r="F28" s="254"/>
      <c r="G28" s="254"/>
      <c r="H28" s="254"/>
      <c r="I28" s="240"/>
    </row>
    <row r="29" ht="22" customHeight="1" spans="2:9">
      <c r="B29" s="240"/>
      <c r="C29" s="251" t="s">
        <v>44</v>
      </c>
      <c r="D29" s="252"/>
      <c r="E29" s="256"/>
      <c r="F29" s="256"/>
      <c r="G29" s="256"/>
      <c r="H29" s="256"/>
      <c r="I29" s="240"/>
    </row>
    <row r="30" ht="22" customHeight="1" spans="2:9">
      <c r="B30" s="240"/>
      <c r="C30" s="249" t="s">
        <v>45</v>
      </c>
      <c r="D30" s="253" t="s">
        <v>46</v>
      </c>
      <c r="E30" s="257" t="s">
        <v>47</v>
      </c>
      <c r="F30" s="257"/>
      <c r="G30" s="257"/>
      <c r="H30" s="257"/>
      <c r="I30" s="240"/>
    </row>
    <row r="31" ht="22" customHeight="1" spans="2:9">
      <c r="B31" s="240"/>
      <c r="C31" s="249" t="s">
        <v>48</v>
      </c>
      <c r="D31" s="250"/>
      <c r="E31" s="254"/>
      <c r="F31" s="254"/>
      <c r="G31" s="254"/>
      <c r="H31" s="254"/>
      <c r="I31" s="240"/>
    </row>
    <row r="32" ht="22" customHeight="1" spans="2:9">
      <c r="B32" s="240"/>
      <c r="C32" s="249" t="s">
        <v>49</v>
      </c>
      <c r="D32" s="250"/>
      <c r="E32" s="254"/>
      <c r="F32" s="254"/>
      <c r="G32" s="254"/>
      <c r="H32" s="254"/>
      <c r="I32" s="240"/>
    </row>
    <row r="33" ht="22" customHeight="1" spans="2:9">
      <c r="B33" s="240"/>
      <c r="C33" s="249"/>
      <c r="D33" s="250"/>
      <c r="E33" s="258"/>
      <c r="F33" s="258"/>
      <c r="G33" s="258"/>
      <c r="H33" s="258"/>
      <c r="I33" s="240"/>
    </row>
    <row r="34" ht="22" customHeight="1" spans="2:9">
      <c r="B34" s="240"/>
      <c r="C34" s="249"/>
      <c r="D34" s="245"/>
      <c r="E34" s="254"/>
      <c r="F34" s="254"/>
      <c r="G34" s="254"/>
      <c r="H34" s="254"/>
      <c r="I34" s="240"/>
    </row>
  </sheetData>
  <mergeCells count="21">
    <mergeCell ref="D2:H2"/>
    <mergeCell ref="D3:H3"/>
    <mergeCell ref="D4:H4"/>
    <mergeCell ref="D5:H5"/>
    <mergeCell ref="D6:H6"/>
    <mergeCell ref="C11:H11"/>
    <mergeCell ref="C12:H12"/>
    <mergeCell ref="C13:H13"/>
    <mergeCell ref="C14:H14"/>
    <mergeCell ref="C15:H15"/>
    <mergeCell ref="C16:H16"/>
    <mergeCell ref="C18:H18"/>
    <mergeCell ref="C19:H19"/>
    <mergeCell ref="C20:H20"/>
    <mergeCell ref="E23:H23"/>
    <mergeCell ref="D24:D26"/>
    <mergeCell ref="D27:D29"/>
    <mergeCell ref="D30:D32"/>
    <mergeCell ref="E30:H32"/>
    <mergeCell ref="E27:H29"/>
    <mergeCell ref="E24:H26"/>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Z89"/>
  <sheetViews>
    <sheetView showGridLines="0" tabSelected="1" zoomScale="73" zoomScaleNormal="73" topLeftCell="M3" workbookViewId="0">
      <selection activeCell="O15" sqref="O15"/>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5" width="29.6607142857143" style="4" customWidth="1"/>
    <col min="6" max="6" width="26.3303571428571" style="4" customWidth="1"/>
    <col min="7" max="7" width="84.8303571428571" style="5" customWidth="1"/>
    <col min="8" max="8" width="28.6607142857143" style="4" customWidth="1"/>
    <col min="9" max="9" width="22.1607142857143" style="4" customWidth="1"/>
    <col min="10" max="10" width="21.3303571428571" style="4" customWidth="1"/>
    <col min="11" max="11" width="39.6607142857143" style="4" customWidth="1"/>
    <col min="12" max="12" width="31.5" style="132" customWidth="1"/>
    <col min="13" max="13" width="106.830357142857" style="14" customWidth="1"/>
    <col min="14" max="15" width="31.5" style="4" customWidth="1"/>
    <col min="16" max="16384" width="8.66071428571429" style="4"/>
  </cols>
  <sheetData>
    <row r="1" ht="10.5" customHeight="1"/>
    <row r="2" ht="38.5" customHeight="1" spans="2:8">
      <c r="B2" s="6"/>
      <c r="C2" s="6"/>
      <c r="D2" s="8" t="s">
        <v>50</v>
      </c>
      <c r="E2" s="8"/>
      <c r="F2" s="8"/>
      <c r="G2" s="8"/>
      <c r="H2" s="8"/>
    </row>
    <row r="3" ht="16" customHeight="1" spans="4:8">
      <c r="D3" s="9"/>
      <c r="E3" s="9"/>
      <c r="F3" s="9"/>
      <c r="G3" s="9"/>
      <c r="H3" s="9"/>
    </row>
    <row r="4" ht="23.5" customHeight="1" spans="4:8">
      <c r="D4" s="9" t="s">
        <v>51</v>
      </c>
      <c r="E4" s="9"/>
      <c r="F4" s="9"/>
      <c r="G4" s="9"/>
      <c r="H4" s="9"/>
    </row>
    <row r="5" ht="21.5" customHeight="1" spans="4:8">
      <c r="D5" s="9" t="s">
        <v>52</v>
      </c>
      <c r="E5" s="9"/>
      <c r="F5" s="9"/>
      <c r="G5" s="9"/>
      <c r="H5" s="9"/>
    </row>
    <row r="6" ht="17.55" spans="1:26">
      <c r="A6" s="11"/>
      <c r="B6" s="11"/>
      <c r="C6" s="11"/>
      <c r="D6" s="11"/>
      <c r="E6" s="11"/>
      <c r="F6" s="11"/>
      <c r="G6" s="12"/>
      <c r="H6" s="11"/>
      <c r="I6" s="11"/>
      <c r="J6" s="11"/>
      <c r="K6" s="11"/>
      <c r="L6" s="173"/>
      <c r="M6" s="219"/>
      <c r="N6" s="11"/>
      <c r="O6" s="11"/>
      <c r="P6" s="11"/>
      <c r="Q6" s="11"/>
      <c r="R6" s="11"/>
      <c r="S6" s="11"/>
      <c r="T6" s="11"/>
      <c r="U6" s="11"/>
      <c r="V6" s="11"/>
      <c r="W6" s="11"/>
      <c r="X6" s="11"/>
      <c r="Y6" s="11"/>
      <c r="Z6" s="11"/>
    </row>
    <row r="8" spans="12:12">
      <c r="L8" s="174"/>
    </row>
    <row r="9" ht="20.4" spans="3:13">
      <c r="C9" s="133" t="s">
        <v>53</v>
      </c>
      <c r="I9" s="175" t="s">
        <v>54</v>
      </c>
      <c r="J9" s="176"/>
      <c r="K9" s="176"/>
      <c r="L9" s="177"/>
      <c r="M9" s="220"/>
    </row>
    <row r="10" spans="5:13">
      <c r="E10" s="79" t="s">
        <v>55</v>
      </c>
      <c r="I10" s="176"/>
      <c r="J10" s="176"/>
      <c r="K10" s="176"/>
      <c r="L10" s="79" t="s">
        <v>55</v>
      </c>
      <c r="M10" s="220"/>
    </row>
    <row r="11" ht="28" customHeight="1" spans="3:15">
      <c r="C11" s="134" t="s">
        <v>56</v>
      </c>
      <c r="D11" s="135" t="s">
        <v>57</v>
      </c>
      <c r="E11" s="135" t="s">
        <v>58</v>
      </c>
      <c r="F11" s="148" t="s">
        <v>59</v>
      </c>
      <c r="G11" s="135" t="s">
        <v>60</v>
      </c>
      <c r="I11" s="178" t="s">
        <v>56</v>
      </c>
      <c r="J11" s="178" t="s">
        <v>61</v>
      </c>
      <c r="K11" s="179" t="s">
        <v>57</v>
      </c>
      <c r="L11" s="180" t="s">
        <v>58</v>
      </c>
      <c r="M11" s="180" t="s">
        <v>62</v>
      </c>
      <c r="O11" s="221" t="s">
        <v>63</v>
      </c>
    </row>
    <row r="12" ht="30" customHeight="1" spans="3:15">
      <c r="C12" s="136" t="s">
        <v>64</v>
      </c>
      <c r="D12" s="137" t="s">
        <v>65</v>
      </c>
      <c r="E12" s="149">
        <v>25600000000</v>
      </c>
      <c r="F12" s="150" t="s">
        <v>66</v>
      </c>
      <c r="G12" s="151" t="s">
        <v>67</v>
      </c>
      <c r="I12" s="181" t="s">
        <v>68</v>
      </c>
      <c r="J12" s="182" t="s">
        <v>69</v>
      </c>
      <c r="K12" s="183" t="s">
        <v>70</v>
      </c>
      <c r="L12" s="184">
        <v>0.1</v>
      </c>
      <c r="M12" s="222" t="s">
        <v>71</v>
      </c>
      <c r="O12" s="223" t="s">
        <v>72</v>
      </c>
    </row>
    <row r="13" ht="31" spans="3:13">
      <c r="C13" s="136"/>
      <c r="D13" s="137" t="s">
        <v>73</v>
      </c>
      <c r="E13" s="152">
        <v>0.046</v>
      </c>
      <c r="F13" s="153" t="s">
        <v>74</v>
      </c>
      <c r="G13" s="151" t="s">
        <v>67</v>
      </c>
      <c r="I13" s="185"/>
      <c r="J13" s="182"/>
      <c r="K13" s="183" t="s">
        <v>75</v>
      </c>
      <c r="L13" s="186">
        <v>0</v>
      </c>
      <c r="M13" s="222" t="s">
        <v>76</v>
      </c>
    </row>
    <row r="14" ht="31" spans="3:13">
      <c r="C14" s="136"/>
      <c r="D14" s="137" t="s">
        <v>77</v>
      </c>
      <c r="E14" s="91">
        <v>0.3</v>
      </c>
      <c r="F14" s="150" t="s">
        <v>66</v>
      </c>
      <c r="G14" s="137" t="s">
        <v>78</v>
      </c>
      <c r="I14" s="185"/>
      <c r="J14" s="182"/>
      <c r="K14" s="183" t="s">
        <v>79</v>
      </c>
      <c r="L14" s="186">
        <v>0.05</v>
      </c>
      <c r="M14" s="222" t="s">
        <v>76</v>
      </c>
    </row>
    <row r="15" ht="76" spans="3:13">
      <c r="C15" s="136"/>
      <c r="D15" s="137" t="s">
        <v>80</v>
      </c>
      <c r="E15" s="91">
        <f>0.16+0.15+0.13+0.1+0.06</f>
        <v>0.6</v>
      </c>
      <c r="F15" s="153" t="s">
        <v>74</v>
      </c>
      <c r="G15" s="151" t="s">
        <v>81</v>
      </c>
      <c r="I15" s="185"/>
      <c r="J15" s="182"/>
      <c r="K15" s="183" t="s">
        <v>82</v>
      </c>
      <c r="L15" s="186">
        <v>0.75</v>
      </c>
      <c r="M15" s="222" t="s">
        <v>76</v>
      </c>
    </row>
    <row r="16" ht="46" spans="3:13">
      <c r="C16" s="136"/>
      <c r="D16" s="137" t="s">
        <v>83</v>
      </c>
      <c r="E16" s="91">
        <v>0.17</v>
      </c>
      <c r="F16" s="150" t="s">
        <v>66</v>
      </c>
      <c r="G16" s="151" t="s">
        <v>84</v>
      </c>
      <c r="I16" s="185"/>
      <c r="J16" s="182"/>
      <c r="K16" s="183" t="s">
        <v>85</v>
      </c>
      <c r="L16" s="186">
        <v>1</v>
      </c>
      <c r="M16" s="222" t="s">
        <v>76</v>
      </c>
    </row>
    <row r="17" ht="31" spans="3:13">
      <c r="C17" s="136"/>
      <c r="D17" s="137" t="s">
        <v>86</v>
      </c>
      <c r="E17" s="91">
        <v>0.04</v>
      </c>
      <c r="F17" s="150" t="s">
        <v>66</v>
      </c>
      <c r="G17" s="151" t="s">
        <v>84</v>
      </c>
      <c r="I17" s="185"/>
      <c r="J17" s="182"/>
      <c r="K17" s="183" t="s">
        <v>87</v>
      </c>
      <c r="L17" s="186">
        <v>1.25</v>
      </c>
      <c r="M17" s="222" t="s">
        <v>76</v>
      </c>
    </row>
    <row r="18" ht="46" spans="3:13">
      <c r="C18" s="136"/>
      <c r="D18" s="137" t="s">
        <v>88</v>
      </c>
      <c r="E18" s="91">
        <v>0.03</v>
      </c>
      <c r="F18" s="150" t="s">
        <v>66</v>
      </c>
      <c r="G18" s="151" t="s">
        <v>84</v>
      </c>
      <c r="I18" s="185"/>
      <c r="J18" s="187" t="s">
        <v>89</v>
      </c>
      <c r="K18" s="188" t="s">
        <v>90</v>
      </c>
      <c r="L18" s="189">
        <v>15</v>
      </c>
      <c r="M18" s="224" t="s">
        <v>91</v>
      </c>
    </row>
    <row r="19" ht="46" spans="3:13">
      <c r="C19" s="136"/>
      <c r="D19" s="137" t="s">
        <v>92</v>
      </c>
      <c r="E19" s="91">
        <v>0.03</v>
      </c>
      <c r="F19" s="150" t="s">
        <v>66</v>
      </c>
      <c r="G19" s="151" t="s">
        <v>84</v>
      </c>
      <c r="I19" s="185"/>
      <c r="J19" s="187"/>
      <c r="K19" s="188" t="s">
        <v>93</v>
      </c>
      <c r="L19" s="190">
        <v>1</v>
      </c>
      <c r="M19" s="224" t="s">
        <v>91</v>
      </c>
    </row>
    <row r="20" ht="46" spans="3:13">
      <c r="C20" s="138"/>
      <c r="D20" s="139" t="s">
        <v>94</v>
      </c>
      <c r="E20" s="154">
        <v>0.73</v>
      </c>
      <c r="F20" s="155" t="s">
        <v>66</v>
      </c>
      <c r="G20" s="156" t="s">
        <v>84</v>
      </c>
      <c r="I20" s="185"/>
      <c r="J20" s="187"/>
      <c r="K20" s="188" t="s">
        <v>95</v>
      </c>
      <c r="L20" s="190">
        <v>0</v>
      </c>
      <c r="M20" s="224" t="s">
        <v>91</v>
      </c>
    </row>
    <row r="21" ht="46" spans="3:13">
      <c r="C21" s="140" t="s">
        <v>96</v>
      </c>
      <c r="D21" s="141" t="s">
        <v>97</v>
      </c>
      <c r="E21" s="157">
        <f>40000</f>
        <v>40000</v>
      </c>
      <c r="F21" s="158" t="s">
        <v>66</v>
      </c>
      <c r="G21" s="141" t="s">
        <v>98</v>
      </c>
      <c r="I21" s="185"/>
      <c r="J21" s="187"/>
      <c r="K21" s="188" t="s">
        <v>99</v>
      </c>
      <c r="L21" s="191">
        <v>1</v>
      </c>
      <c r="M21" s="224" t="s">
        <v>100</v>
      </c>
    </row>
    <row r="22" ht="46" spans="3:13">
      <c r="C22" s="142"/>
      <c r="D22" s="143" t="s">
        <v>101</v>
      </c>
      <c r="E22" s="157">
        <f>0.4*E21</f>
        <v>16000</v>
      </c>
      <c r="F22" s="150" t="s">
        <v>66</v>
      </c>
      <c r="G22" s="143" t="s">
        <v>102</v>
      </c>
      <c r="I22" s="185"/>
      <c r="J22" s="187"/>
      <c r="K22" s="188" t="s">
        <v>103</v>
      </c>
      <c r="L22" s="191">
        <v>0.5</v>
      </c>
      <c r="M22" s="224" t="s">
        <v>104</v>
      </c>
    </row>
    <row r="23" ht="46" spans="3:13">
      <c r="C23" s="142"/>
      <c r="D23" s="143" t="s">
        <v>105</v>
      </c>
      <c r="E23" s="157">
        <f>0.2*E21</f>
        <v>8000</v>
      </c>
      <c r="F23" s="150" t="s">
        <v>66</v>
      </c>
      <c r="G23" s="143" t="s">
        <v>106</v>
      </c>
      <c r="I23" s="185"/>
      <c r="J23" s="187"/>
      <c r="K23" s="188" t="s">
        <v>107</v>
      </c>
      <c r="L23" s="191">
        <v>0.6</v>
      </c>
      <c r="M23" s="224" t="s">
        <v>100</v>
      </c>
    </row>
    <row r="24" ht="46" spans="3:13">
      <c r="C24" s="142"/>
      <c r="D24" s="143" t="s">
        <v>108</v>
      </c>
      <c r="E24" s="157">
        <f>0.05*E21</f>
        <v>2000</v>
      </c>
      <c r="F24" s="150" t="s">
        <v>66</v>
      </c>
      <c r="G24" s="143" t="s">
        <v>109</v>
      </c>
      <c r="I24" s="185"/>
      <c r="J24" s="187"/>
      <c r="K24" s="188" t="s">
        <v>110</v>
      </c>
      <c r="L24" s="191">
        <v>0.5</v>
      </c>
      <c r="M24" s="224" t="s">
        <v>111</v>
      </c>
    </row>
    <row r="25" ht="46" spans="3:13">
      <c r="C25" s="142"/>
      <c r="D25" s="143" t="s">
        <v>112</v>
      </c>
      <c r="E25" s="157">
        <f>0.05*E21</f>
        <v>2000</v>
      </c>
      <c r="F25" s="150" t="s">
        <v>66</v>
      </c>
      <c r="G25" s="143" t="s">
        <v>109</v>
      </c>
      <c r="I25" s="185"/>
      <c r="J25" s="187"/>
      <c r="K25" s="188" t="s">
        <v>113</v>
      </c>
      <c r="L25" s="192">
        <v>0</v>
      </c>
      <c r="M25" s="224" t="s">
        <v>114</v>
      </c>
    </row>
    <row r="26" ht="46" spans="3:13">
      <c r="C26" s="142"/>
      <c r="D26" s="143" t="s">
        <v>115</v>
      </c>
      <c r="E26" s="159">
        <v>0.95</v>
      </c>
      <c r="F26" s="150" t="s">
        <v>66</v>
      </c>
      <c r="G26" s="143" t="s">
        <v>76</v>
      </c>
      <c r="I26" s="185"/>
      <c r="J26" s="187"/>
      <c r="K26" s="188" t="s">
        <v>116</v>
      </c>
      <c r="L26" s="193">
        <v>200000</v>
      </c>
      <c r="M26" s="225" t="s">
        <v>117</v>
      </c>
    </row>
    <row r="27" ht="46" spans="3:13">
      <c r="C27" s="142"/>
      <c r="D27" s="143" t="s">
        <v>118</v>
      </c>
      <c r="E27" s="159">
        <v>0.8</v>
      </c>
      <c r="F27" s="150" t="s">
        <v>66</v>
      </c>
      <c r="G27" s="143" t="s">
        <v>76</v>
      </c>
      <c r="I27" s="185"/>
      <c r="J27" s="187"/>
      <c r="K27" s="188" t="s">
        <v>119</v>
      </c>
      <c r="L27" s="193">
        <f>0.9*L26</f>
        <v>180000</v>
      </c>
      <c r="M27" s="225" t="s">
        <v>120</v>
      </c>
    </row>
    <row r="28" ht="46" spans="3:13">
      <c r="C28" s="142"/>
      <c r="D28" s="143" t="s">
        <v>121</v>
      </c>
      <c r="E28" s="159">
        <v>0.6</v>
      </c>
      <c r="F28" s="150" t="s">
        <v>66</v>
      </c>
      <c r="G28" s="143" t="s">
        <v>76</v>
      </c>
      <c r="I28" s="185"/>
      <c r="J28" s="187"/>
      <c r="K28" s="194" t="s">
        <v>122</v>
      </c>
      <c r="L28" s="193">
        <f>0.8*L26</f>
        <v>160000</v>
      </c>
      <c r="M28" s="225" t="s">
        <v>123</v>
      </c>
    </row>
    <row r="29" ht="50" customHeight="1" spans="3:13">
      <c r="C29" s="142"/>
      <c r="D29" s="143" t="s">
        <v>124</v>
      </c>
      <c r="E29" s="159">
        <v>0.5</v>
      </c>
      <c r="F29" s="150" t="s">
        <v>66</v>
      </c>
      <c r="G29" s="143" t="s">
        <v>76</v>
      </c>
      <c r="I29" s="185"/>
      <c r="J29" s="187"/>
      <c r="K29" s="188" t="s">
        <v>125</v>
      </c>
      <c r="L29" s="193">
        <f>0.7*L26</f>
        <v>140000</v>
      </c>
      <c r="M29" s="225" t="s">
        <v>126</v>
      </c>
    </row>
    <row r="30" ht="46" spans="3:13">
      <c r="C30" s="142"/>
      <c r="D30" s="143" t="s">
        <v>127</v>
      </c>
      <c r="E30" s="159">
        <v>0.2</v>
      </c>
      <c r="F30" s="150" t="s">
        <v>66</v>
      </c>
      <c r="G30" s="143" t="s">
        <v>76</v>
      </c>
      <c r="I30" s="185"/>
      <c r="J30" s="187"/>
      <c r="K30" s="188" t="s">
        <v>128</v>
      </c>
      <c r="L30" s="193">
        <f>0.6*L26</f>
        <v>120000</v>
      </c>
      <c r="M30" s="225" t="s">
        <v>129</v>
      </c>
    </row>
    <row r="31" ht="31" spans="3:13">
      <c r="C31" s="142"/>
      <c r="D31" s="143" t="s">
        <v>130</v>
      </c>
      <c r="E31" s="160">
        <v>187</v>
      </c>
      <c r="F31" s="150" t="s">
        <v>66</v>
      </c>
      <c r="G31" s="161" t="s">
        <v>131</v>
      </c>
      <c r="I31" s="185"/>
      <c r="J31" s="187"/>
      <c r="K31" s="188" t="s">
        <v>132</v>
      </c>
      <c r="L31" s="195">
        <v>0</v>
      </c>
      <c r="M31" s="225" t="s">
        <v>133</v>
      </c>
    </row>
    <row r="32" ht="31" spans="3:13">
      <c r="C32" s="142"/>
      <c r="D32" s="143" t="s">
        <v>134</v>
      </c>
      <c r="E32" s="160">
        <v>139</v>
      </c>
      <c r="F32" s="150" t="s">
        <v>66</v>
      </c>
      <c r="G32" s="161" t="s">
        <v>135</v>
      </c>
      <c r="I32" s="185"/>
      <c r="J32" s="187"/>
      <c r="K32" s="188" t="s">
        <v>136</v>
      </c>
      <c r="L32" s="195">
        <v>0.05</v>
      </c>
      <c r="M32" s="225" t="s">
        <v>137</v>
      </c>
    </row>
    <row r="33" ht="30" customHeight="1" spans="3:13">
      <c r="C33" s="142"/>
      <c r="D33" s="143" t="s">
        <v>138</v>
      </c>
      <c r="E33" s="160">
        <v>189</v>
      </c>
      <c r="F33" s="150" t="s">
        <v>66</v>
      </c>
      <c r="G33" s="161" t="s">
        <v>139</v>
      </c>
      <c r="I33" s="185"/>
      <c r="J33" s="187"/>
      <c r="K33" s="143" t="s">
        <v>130</v>
      </c>
      <c r="L33" s="196">
        <f>E31</f>
        <v>187</v>
      </c>
      <c r="M33" s="226" t="s">
        <v>140</v>
      </c>
    </row>
    <row r="34" ht="31" spans="3:13">
      <c r="C34" s="142"/>
      <c r="D34" s="143" t="s">
        <v>141</v>
      </c>
      <c r="E34" s="160">
        <f>E42-SUM(E31:E33)</f>
        <v>555</v>
      </c>
      <c r="F34" s="150" t="s">
        <v>66</v>
      </c>
      <c r="G34" s="143" t="s">
        <v>142</v>
      </c>
      <c r="I34" s="185"/>
      <c r="J34" s="187"/>
      <c r="K34" s="143" t="s">
        <v>134</v>
      </c>
      <c r="L34" s="196">
        <f>E32</f>
        <v>139</v>
      </c>
      <c r="M34" s="226" t="s">
        <v>140</v>
      </c>
    </row>
    <row r="35" ht="31" spans="3:13">
      <c r="C35" s="142"/>
      <c r="D35" s="143" t="s">
        <v>143</v>
      </c>
      <c r="E35" s="162">
        <f>E45-SUM(E31:E34)</f>
        <v>5788.97435897436</v>
      </c>
      <c r="F35" s="150" t="s">
        <v>66</v>
      </c>
      <c r="G35" s="143" t="s">
        <v>142</v>
      </c>
      <c r="I35" s="185"/>
      <c r="J35" s="187"/>
      <c r="K35" s="143" t="s">
        <v>138</v>
      </c>
      <c r="L35" s="196">
        <f>E33</f>
        <v>189</v>
      </c>
      <c r="M35" s="226" t="s">
        <v>140</v>
      </c>
    </row>
    <row r="36" ht="31" spans="3:13">
      <c r="C36" s="144"/>
      <c r="D36" s="145" t="s">
        <v>144</v>
      </c>
      <c r="E36" s="163" t="s">
        <v>145</v>
      </c>
      <c r="F36" s="164" t="s">
        <v>74</v>
      </c>
      <c r="G36" s="145"/>
      <c r="I36" s="185"/>
      <c r="J36" s="187"/>
      <c r="K36" s="143" t="s">
        <v>141</v>
      </c>
      <c r="L36" s="196">
        <f>E34</f>
        <v>555</v>
      </c>
      <c r="M36" s="226" t="s">
        <v>140</v>
      </c>
    </row>
    <row r="37" ht="31" spans="3:13">
      <c r="C37" s="146" t="s">
        <v>146</v>
      </c>
      <c r="D37" s="147" t="s">
        <v>147</v>
      </c>
      <c r="E37" s="165">
        <v>381800000</v>
      </c>
      <c r="F37" s="158" t="s">
        <v>66</v>
      </c>
      <c r="G37" s="166" t="s">
        <v>148</v>
      </c>
      <c r="I37" s="185"/>
      <c r="J37" s="187"/>
      <c r="K37" s="143" t="s">
        <v>143</v>
      </c>
      <c r="L37" s="197">
        <f>E35</f>
        <v>5788.97435897436</v>
      </c>
      <c r="M37" s="226" t="s">
        <v>140</v>
      </c>
    </row>
    <row r="38" ht="31" spans="3:13">
      <c r="C38" s="136"/>
      <c r="D38" s="137" t="s">
        <v>149</v>
      </c>
      <c r="E38" s="152">
        <v>0.268</v>
      </c>
      <c r="F38" s="153" t="s">
        <v>74</v>
      </c>
      <c r="G38" s="151" t="s">
        <v>148</v>
      </c>
      <c r="I38" s="185"/>
      <c r="J38" s="198" t="s">
        <v>150</v>
      </c>
      <c r="K38" s="183" t="s">
        <v>151</v>
      </c>
      <c r="L38" s="199">
        <v>0</v>
      </c>
      <c r="M38" s="222" t="s">
        <v>152</v>
      </c>
    </row>
    <row r="39" ht="41" customHeight="1" spans="3:13">
      <c r="C39" s="136"/>
      <c r="D39" s="137" t="s">
        <v>153</v>
      </c>
      <c r="E39" s="152">
        <v>0.324</v>
      </c>
      <c r="F39" s="150" t="s">
        <v>66</v>
      </c>
      <c r="G39" s="151" t="s">
        <v>148</v>
      </c>
      <c r="I39" s="185"/>
      <c r="J39" s="198"/>
      <c r="K39" s="183" t="s">
        <v>154</v>
      </c>
      <c r="L39" s="200">
        <v>3000</v>
      </c>
      <c r="M39" s="222" t="s">
        <v>155</v>
      </c>
    </row>
    <row r="40" ht="31" spans="3:13">
      <c r="C40" s="136"/>
      <c r="D40" s="137" t="s">
        <v>156</v>
      </c>
      <c r="E40" s="152">
        <v>0.394</v>
      </c>
      <c r="F40" s="153" t="s">
        <v>74</v>
      </c>
      <c r="G40" s="151" t="s">
        <v>148</v>
      </c>
      <c r="I40" s="185"/>
      <c r="J40" s="198"/>
      <c r="K40" s="183" t="s">
        <v>157</v>
      </c>
      <c r="L40" s="201">
        <v>50000</v>
      </c>
      <c r="M40" s="222" t="s">
        <v>76</v>
      </c>
    </row>
    <row r="41" ht="31" spans="3:13">
      <c r="C41" s="138"/>
      <c r="D41" s="139" t="s">
        <v>158</v>
      </c>
      <c r="E41" s="154">
        <v>0.1</v>
      </c>
      <c r="F41" s="155" t="s">
        <v>66</v>
      </c>
      <c r="G41" s="139" t="s">
        <v>76</v>
      </c>
      <c r="I41" s="185"/>
      <c r="J41" s="187" t="s">
        <v>159</v>
      </c>
      <c r="K41" s="188" t="s">
        <v>160</v>
      </c>
      <c r="L41" s="202">
        <v>0</v>
      </c>
      <c r="M41" s="224" t="s">
        <v>152</v>
      </c>
    </row>
    <row r="42" ht="31" spans="3:13">
      <c r="C42" s="140" t="s">
        <v>161</v>
      </c>
      <c r="D42" s="141" t="s">
        <v>162</v>
      </c>
      <c r="E42" s="167">
        <f>115+104+109+742</f>
        <v>1070</v>
      </c>
      <c r="F42" s="158" t="s">
        <v>66</v>
      </c>
      <c r="G42" s="168" t="s">
        <v>163</v>
      </c>
      <c r="I42" s="185"/>
      <c r="J42" s="187"/>
      <c r="K42" s="188" t="s">
        <v>164</v>
      </c>
      <c r="L42" s="203">
        <v>500</v>
      </c>
      <c r="M42" s="224" t="s">
        <v>76</v>
      </c>
    </row>
    <row r="43" ht="46" spans="3:13">
      <c r="C43" s="142"/>
      <c r="D43" s="143" t="s">
        <v>165</v>
      </c>
      <c r="E43" s="169">
        <v>0.156</v>
      </c>
      <c r="F43" s="150" t="s">
        <v>66</v>
      </c>
      <c r="G43" s="161" t="s">
        <v>166</v>
      </c>
      <c r="I43" s="185"/>
      <c r="J43" s="187"/>
      <c r="K43" s="188" t="s">
        <v>167</v>
      </c>
      <c r="L43" s="204">
        <v>50000</v>
      </c>
      <c r="M43" s="224" t="s">
        <v>76</v>
      </c>
    </row>
    <row r="44" ht="31" spans="3:13">
      <c r="C44" s="142"/>
      <c r="D44" s="143" t="s">
        <v>168</v>
      </c>
      <c r="E44" s="162">
        <f>(E42/E43)*(1-E43)</f>
        <v>5788.97435897436</v>
      </c>
      <c r="F44" s="150" t="s">
        <v>66</v>
      </c>
      <c r="G44" s="143" t="s">
        <v>142</v>
      </c>
      <c r="I44" s="185"/>
      <c r="J44" s="198" t="s">
        <v>169</v>
      </c>
      <c r="K44" s="183" t="s">
        <v>170</v>
      </c>
      <c r="L44" s="199">
        <v>0</v>
      </c>
      <c r="M44" s="222" t="s">
        <v>152</v>
      </c>
    </row>
    <row r="45" ht="31" spans="3:13">
      <c r="C45" s="144"/>
      <c r="D45" s="145" t="s">
        <v>171</v>
      </c>
      <c r="E45" s="170">
        <f>E42+E44</f>
        <v>6858.97435897436</v>
      </c>
      <c r="F45" s="155" t="s">
        <v>66</v>
      </c>
      <c r="G45" s="145" t="s">
        <v>142</v>
      </c>
      <c r="I45" s="185"/>
      <c r="J45" s="198"/>
      <c r="K45" s="183" t="s">
        <v>172</v>
      </c>
      <c r="L45" s="200">
        <v>500</v>
      </c>
      <c r="M45" s="222" t="s">
        <v>76</v>
      </c>
    </row>
    <row r="46" spans="3:13">
      <c r="C46" s="146" t="s">
        <v>173</v>
      </c>
      <c r="D46" s="147" t="s">
        <v>174</v>
      </c>
      <c r="E46" s="165">
        <v>2500000000</v>
      </c>
      <c r="F46" s="171" t="s">
        <v>74</v>
      </c>
      <c r="G46" s="166" t="s">
        <v>175</v>
      </c>
      <c r="I46" s="185"/>
      <c r="J46" s="198"/>
      <c r="K46" s="183" t="s">
        <v>176</v>
      </c>
      <c r="L46" s="201">
        <v>100000</v>
      </c>
      <c r="M46" s="227" t="s">
        <v>76</v>
      </c>
    </row>
    <row r="47" ht="31" spans="3:13">
      <c r="C47" s="138"/>
      <c r="D47" s="139" t="s">
        <v>177</v>
      </c>
      <c r="E47" s="172">
        <v>0.088</v>
      </c>
      <c r="F47" s="164" t="s">
        <v>74</v>
      </c>
      <c r="G47" s="156" t="s">
        <v>175</v>
      </c>
      <c r="I47" s="185"/>
      <c r="J47" s="187" t="s">
        <v>178</v>
      </c>
      <c r="K47" s="188" t="s">
        <v>179</v>
      </c>
      <c r="L47" s="202">
        <v>0</v>
      </c>
      <c r="M47" s="225" t="s">
        <v>152</v>
      </c>
    </row>
    <row r="48" ht="31" spans="9:13">
      <c r="I48" s="185"/>
      <c r="J48" s="187"/>
      <c r="K48" s="188" t="s">
        <v>180</v>
      </c>
      <c r="L48" s="189">
        <v>50</v>
      </c>
      <c r="M48" s="225" t="s">
        <v>76</v>
      </c>
    </row>
    <row r="49" ht="31" spans="9:13">
      <c r="I49" s="185"/>
      <c r="J49" s="187"/>
      <c r="K49" s="188" t="s">
        <v>181</v>
      </c>
      <c r="L49" s="193">
        <v>10000</v>
      </c>
      <c r="M49" s="224" t="s">
        <v>76</v>
      </c>
    </row>
    <row r="50" ht="31" spans="9:13">
      <c r="I50" s="185"/>
      <c r="J50" s="198" t="s">
        <v>182</v>
      </c>
      <c r="K50" s="183" t="s">
        <v>183</v>
      </c>
      <c r="L50" s="205">
        <v>0</v>
      </c>
      <c r="M50" s="222" t="s">
        <v>152</v>
      </c>
    </row>
    <row r="51" ht="31" spans="9:13">
      <c r="I51" s="185"/>
      <c r="J51" s="198"/>
      <c r="K51" s="183" t="s">
        <v>184</v>
      </c>
      <c r="L51" s="206">
        <v>10</v>
      </c>
      <c r="M51" s="222" t="s">
        <v>76</v>
      </c>
    </row>
    <row r="52" spans="9:13">
      <c r="I52" s="207"/>
      <c r="J52" s="208"/>
      <c r="K52" s="209" t="s">
        <v>185</v>
      </c>
      <c r="L52" s="210">
        <v>30000</v>
      </c>
      <c r="M52" s="228" t="s">
        <v>76</v>
      </c>
    </row>
    <row r="53" ht="17" spans="9:14">
      <c r="I53" s="211" t="s">
        <v>186</v>
      </c>
      <c r="J53" s="212" t="s">
        <v>187</v>
      </c>
      <c r="K53" s="213" t="s">
        <v>188</v>
      </c>
      <c r="L53" s="214">
        <v>0.12</v>
      </c>
      <c r="M53" s="229" t="s">
        <v>76</v>
      </c>
      <c r="N53" s="223" t="s">
        <v>189</v>
      </c>
    </row>
    <row r="54" ht="17" spans="9:14">
      <c r="I54" s="215"/>
      <c r="J54" s="187"/>
      <c r="K54" s="188" t="s">
        <v>190</v>
      </c>
      <c r="L54" s="216">
        <v>0.1</v>
      </c>
      <c r="M54" s="230" t="s">
        <v>76</v>
      </c>
      <c r="N54" s="231" t="s">
        <v>191</v>
      </c>
    </row>
    <row r="55" ht="17" spans="9:13">
      <c r="I55" s="215"/>
      <c r="J55" s="187"/>
      <c r="K55" s="188" t="s">
        <v>192</v>
      </c>
      <c r="L55" s="217">
        <v>0.05</v>
      </c>
      <c r="M55" s="230" t="s">
        <v>76</v>
      </c>
    </row>
    <row r="56" ht="17" spans="9:14">
      <c r="I56" s="215"/>
      <c r="J56" s="187"/>
      <c r="K56" s="188" t="s">
        <v>193</v>
      </c>
      <c r="L56" s="216">
        <v>0.1</v>
      </c>
      <c r="M56" s="230" t="s">
        <v>76</v>
      </c>
      <c r="N56" s="232" t="s">
        <v>194</v>
      </c>
    </row>
    <row r="57" ht="17" spans="9:13">
      <c r="I57" s="215"/>
      <c r="J57" s="198" t="s">
        <v>195</v>
      </c>
      <c r="K57" s="183" t="s">
        <v>196</v>
      </c>
      <c r="L57" s="206">
        <v>3</v>
      </c>
      <c r="M57" s="14" t="s">
        <v>76</v>
      </c>
    </row>
    <row r="58" ht="17" spans="9:14">
      <c r="I58" s="215"/>
      <c r="J58" s="198"/>
      <c r="K58" s="183" t="s">
        <v>197</v>
      </c>
      <c r="L58" s="218">
        <v>4</v>
      </c>
      <c r="M58" s="14" t="s">
        <v>76</v>
      </c>
      <c r="N58" s="232" t="s">
        <v>198</v>
      </c>
    </row>
    <row r="59" ht="17" spans="9:13">
      <c r="I59" s="215"/>
      <c r="J59" s="198"/>
      <c r="K59" s="183" t="s">
        <v>199</v>
      </c>
      <c r="L59" s="206">
        <v>2</v>
      </c>
      <c r="M59" s="14" t="s">
        <v>76</v>
      </c>
    </row>
    <row r="60" ht="17" spans="9:13">
      <c r="I60" s="215"/>
      <c r="J60" s="198"/>
      <c r="K60" s="183" t="s">
        <v>200</v>
      </c>
      <c r="L60" s="206">
        <v>1</v>
      </c>
      <c r="M60" s="14" t="s">
        <v>76</v>
      </c>
    </row>
    <row r="61" ht="17" spans="9:13">
      <c r="I61" s="215"/>
      <c r="J61" s="198"/>
      <c r="K61" s="183" t="s">
        <v>201</v>
      </c>
      <c r="L61" s="206">
        <v>1</v>
      </c>
      <c r="M61" s="14" t="s">
        <v>76</v>
      </c>
    </row>
    <row r="62" ht="17" spans="9:13">
      <c r="I62" s="215"/>
      <c r="J62" s="198"/>
      <c r="K62" s="183" t="s">
        <v>202</v>
      </c>
      <c r="L62" s="206">
        <v>1</v>
      </c>
      <c r="M62" s="14" t="s">
        <v>76</v>
      </c>
    </row>
    <row r="63" ht="31" spans="9:14">
      <c r="I63" s="215"/>
      <c r="J63" s="198"/>
      <c r="K63" s="183" t="s">
        <v>203</v>
      </c>
      <c r="L63" s="218">
        <v>2</v>
      </c>
      <c r="M63" s="14" t="s">
        <v>76</v>
      </c>
      <c r="N63" s="232" t="s">
        <v>204</v>
      </c>
    </row>
    <row r="64" ht="17" spans="9:13">
      <c r="I64" s="215"/>
      <c r="J64" s="198"/>
      <c r="K64" s="183" t="s">
        <v>205</v>
      </c>
      <c r="L64" s="206">
        <v>6</v>
      </c>
      <c r="M64" s="14" t="s">
        <v>76</v>
      </c>
    </row>
    <row r="65" ht="17" spans="9:13">
      <c r="I65" s="215"/>
      <c r="J65" s="198"/>
      <c r="K65" s="183" t="s">
        <v>206</v>
      </c>
      <c r="L65" s="233">
        <v>130000</v>
      </c>
      <c r="M65" s="14" t="s">
        <v>76</v>
      </c>
    </row>
    <row r="66" ht="17" spans="9:13">
      <c r="I66" s="215"/>
      <c r="J66" s="198"/>
      <c r="K66" s="183" t="s">
        <v>207</v>
      </c>
      <c r="L66" s="233">
        <v>140000</v>
      </c>
      <c r="M66" s="14" t="s">
        <v>76</v>
      </c>
    </row>
    <row r="67" ht="17" spans="9:13">
      <c r="I67" s="215"/>
      <c r="J67" s="198"/>
      <c r="K67" s="183" t="s">
        <v>208</v>
      </c>
      <c r="L67" s="233">
        <v>150000</v>
      </c>
      <c r="M67" s="14" t="s">
        <v>76</v>
      </c>
    </row>
    <row r="68" ht="17" spans="9:13">
      <c r="I68" s="215"/>
      <c r="J68" s="198"/>
      <c r="K68" s="183" t="s">
        <v>209</v>
      </c>
      <c r="L68" s="233">
        <v>140000</v>
      </c>
      <c r="M68" s="14" t="s">
        <v>76</v>
      </c>
    </row>
    <row r="69" ht="17" spans="9:13">
      <c r="I69" s="215"/>
      <c r="J69" s="198"/>
      <c r="K69" s="183" t="s">
        <v>210</v>
      </c>
      <c r="L69" s="233">
        <v>140000</v>
      </c>
      <c r="M69" s="14" t="s">
        <v>76</v>
      </c>
    </row>
    <row r="70" ht="17" spans="9:13">
      <c r="I70" s="215"/>
      <c r="J70" s="198"/>
      <c r="K70" s="183" t="s">
        <v>211</v>
      </c>
      <c r="L70" s="233">
        <v>170000</v>
      </c>
      <c r="M70" s="14" t="s">
        <v>76</v>
      </c>
    </row>
    <row r="71" ht="17" spans="9:13">
      <c r="I71" s="215"/>
      <c r="J71" s="198"/>
      <c r="K71" s="183" t="s">
        <v>212</v>
      </c>
      <c r="L71" s="233">
        <v>90000</v>
      </c>
      <c r="M71" s="14" t="s">
        <v>76</v>
      </c>
    </row>
    <row r="72" ht="17" spans="9:13">
      <c r="I72" s="215"/>
      <c r="J72" s="198"/>
      <c r="K72" s="183" t="s">
        <v>213</v>
      </c>
      <c r="L72" s="233">
        <v>100000</v>
      </c>
      <c r="M72" s="14" t="s">
        <v>214</v>
      </c>
    </row>
    <row r="73" ht="17" spans="9:13">
      <c r="I73" s="215"/>
      <c r="J73" s="198"/>
      <c r="K73" s="183" t="s">
        <v>215</v>
      </c>
      <c r="L73" s="233">
        <v>25000</v>
      </c>
      <c r="M73" s="14" t="s">
        <v>76</v>
      </c>
    </row>
    <row r="74" ht="17" spans="9:13">
      <c r="I74" s="215"/>
      <c r="J74" s="198"/>
      <c r="K74" s="183" t="s">
        <v>216</v>
      </c>
      <c r="L74" s="233">
        <v>50000</v>
      </c>
      <c r="M74" s="14" t="s">
        <v>76</v>
      </c>
    </row>
    <row r="75" ht="17" spans="9:13">
      <c r="I75" s="215"/>
      <c r="J75" s="198"/>
      <c r="K75" s="183" t="s">
        <v>217</v>
      </c>
      <c r="L75" s="233">
        <v>100000</v>
      </c>
      <c r="M75" s="14" t="s">
        <v>76</v>
      </c>
    </row>
    <row r="76" ht="17" spans="9:14">
      <c r="I76" s="215"/>
      <c r="J76" s="187" t="s">
        <v>218</v>
      </c>
      <c r="K76" s="188" t="s">
        <v>219</v>
      </c>
      <c r="L76" s="218">
        <v>3</v>
      </c>
      <c r="M76" s="230" t="s">
        <v>76</v>
      </c>
      <c r="N76" s="223" t="s">
        <v>220</v>
      </c>
    </row>
    <row r="77" ht="17" spans="9:13">
      <c r="I77" s="215"/>
      <c r="J77" s="187"/>
      <c r="K77" s="188" t="s">
        <v>221</v>
      </c>
      <c r="L77" s="234">
        <f>AVERAGE(L65:L69)</f>
        <v>140000</v>
      </c>
      <c r="M77" s="230" t="s">
        <v>222</v>
      </c>
    </row>
    <row r="78" ht="17" spans="9:13">
      <c r="I78" s="215"/>
      <c r="J78" s="187"/>
      <c r="K78" s="188" t="s">
        <v>223</v>
      </c>
      <c r="L78" s="217">
        <v>0.05</v>
      </c>
      <c r="M78" s="230" t="s">
        <v>76</v>
      </c>
    </row>
    <row r="79" ht="17" spans="9:14">
      <c r="I79" s="215"/>
      <c r="J79" s="187"/>
      <c r="K79" s="188" t="s">
        <v>224</v>
      </c>
      <c r="L79" s="218">
        <v>6</v>
      </c>
      <c r="M79" s="230" t="s">
        <v>225</v>
      </c>
      <c r="N79" s="223" t="s">
        <v>226</v>
      </c>
    </row>
    <row r="80" ht="17" spans="9:13">
      <c r="I80" s="215"/>
      <c r="J80" s="187"/>
      <c r="K80" s="188" t="s">
        <v>227</v>
      </c>
      <c r="L80" s="235">
        <v>120000</v>
      </c>
      <c r="M80" s="230" t="s">
        <v>76</v>
      </c>
    </row>
    <row r="81" ht="17" spans="9:13">
      <c r="I81" s="215"/>
      <c r="J81" s="187"/>
      <c r="K81" s="188" t="s">
        <v>228</v>
      </c>
      <c r="L81" s="217">
        <v>0.1</v>
      </c>
      <c r="M81" s="230" t="s">
        <v>76</v>
      </c>
    </row>
    <row r="82" ht="31" spans="9:13">
      <c r="I82" s="215"/>
      <c r="J82" s="187"/>
      <c r="K82" s="188" t="s">
        <v>229</v>
      </c>
      <c r="L82" s="235">
        <v>120000</v>
      </c>
      <c r="M82" s="230" t="s">
        <v>76</v>
      </c>
    </row>
    <row r="83" ht="17" spans="9:13">
      <c r="I83" s="215"/>
      <c r="J83" s="187"/>
      <c r="K83" s="188" t="s">
        <v>230</v>
      </c>
      <c r="L83" s="217">
        <v>0.08</v>
      </c>
      <c r="M83" s="230" t="s">
        <v>76</v>
      </c>
    </row>
    <row r="84" ht="17" spans="9:13">
      <c r="I84" s="215"/>
      <c r="J84" s="187"/>
      <c r="K84" s="188" t="s">
        <v>231</v>
      </c>
      <c r="L84" s="234">
        <v>25000</v>
      </c>
      <c r="M84" s="230" t="s">
        <v>76</v>
      </c>
    </row>
    <row r="85" ht="17" spans="9:13">
      <c r="I85" s="215"/>
      <c r="J85" s="187"/>
      <c r="K85" s="188" t="s">
        <v>232</v>
      </c>
      <c r="L85" s="217">
        <v>0.15</v>
      </c>
      <c r="M85" s="230" t="s">
        <v>76</v>
      </c>
    </row>
    <row r="86" ht="17" spans="9:14">
      <c r="I86" s="215"/>
      <c r="J86" s="198" t="s">
        <v>233</v>
      </c>
      <c r="K86" s="183" t="s">
        <v>219</v>
      </c>
      <c r="L86" s="218">
        <v>12</v>
      </c>
      <c r="M86" s="14" t="s">
        <v>76</v>
      </c>
      <c r="N86" s="223" t="s">
        <v>234</v>
      </c>
    </row>
    <row r="87" ht="17" spans="9:13">
      <c r="I87" s="215"/>
      <c r="J87" s="198"/>
      <c r="K87" s="183" t="s">
        <v>221</v>
      </c>
      <c r="L87" s="236">
        <f>L77</f>
        <v>140000</v>
      </c>
      <c r="M87" s="14" t="s">
        <v>222</v>
      </c>
    </row>
    <row r="88" ht="17" spans="9:13">
      <c r="I88" s="237"/>
      <c r="J88" s="208"/>
      <c r="K88" s="209" t="s">
        <v>235</v>
      </c>
      <c r="L88" s="238">
        <v>500000</v>
      </c>
      <c r="M88" s="239" t="s">
        <v>76</v>
      </c>
    </row>
    <row r="89" spans="11:12">
      <c r="K89" s="183"/>
      <c r="L89" s="236"/>
    </row>
  </sheetData>
  <mergeCells count="22">
    <mergeCell ref="D2:H2"/>
    <mergeCell ref="D3:H3"/>
    <mergeCell ref="D4:H4"/>
    <mergeCell ref="D5:H5"/>
    <mergeCell ref="C12:C20"/>
    <mergeCell ref="C21:C36"/>
    <mergeCell ref="C37:C41"/>
    <mergeCell ref="C42:C45"/>
    <mergeCell ref="C46:C47"/>
    <mergeCell ref="I12:I52"/>
    <mergeCell ref="I53:I88"/>
    <mergeCell ref="J12:J17"/>
    <mergeCell ref="J18:J37"/>
    <mergeCell ref="J38:J40"/>
    <mergeCell ref="J41:J43"/>
    <mergeCell ref="J44:J46"/>
    <mergeCell ref="J47:J49"/>
    <mergeCell ref="J50:J52"/>
    <mergeCell ref="J53:J56"/>
    <mergeCell ref="J57:J75"/>
    <mergeCell ref="J76:J85"/>
    <mergeCell ref="J86:J88"/>
  </mergeCells>
  <hyperlinks>
    <hyperlink ref="G12" r:id="rId2" display="https://marketintelo.com/report/academic-publishing-market"/>
    <hyperlink ref="G13" r:id="rId2" display="https://marketintelo.com/report/academic-publishing-market"/>
    <hyperlink ref="G15" r:id="rId3" display="https://www.linkedin.com/pulse/hidden-fortune-academic-publishers-closer-look-industrys-kannan-cmxac/"/>
    <hyperlink ref="G17" r:id="rId4" display="https://firstmonday.org/ojs/index.php/fm/article/view/4370/3685"/>
    <hyperlink ref="G18" r:id="rId4" display="https://firstmonday.org/ojs/index.php/fm/article/view/4370/3685"/>
    <hyperlink ref="G19" r:id="rId4" display="https://firstmonday.org/ojs/index.php/fm/article/view/4370/3685"/>
    <hyperlink ref="G20" r:id="rId4" display="https://firstmonday.org/ojs/index.php/fm/article/view/4370/3685"/>
    <hyperlink ref="G31" r:id="rId5" display="https://carnegieclassifications.acenet.edu/institutions/?inst=&amp;research2025%5B%5D=1"/>
    <hyperlink ref="G32" r:id="rId6" display="https://carnegieclassifications.acenet.edu/institutions/?inst=&amp;research2025%5B%5D=2"/>
    <hyperlink ref="G33" r:id="rId7" location=":~:text=Every%20three%20years%2C%20Indiana%20University's%20Center%20on,doesn't%20hesitate%20to%20share%20their%20opinions%20about" display="https://robertkelchen.com/2021/12/16/how-colleges-carnegie-classifications-have-changed-over-time-2/#:~:text=Every%20three%20years%2C%20Indiana%20University's%20Center%20on,doesn't%20hesitate%20to%20share%20their%20opinions%20about"/>
    <hyperlink ref="G37" r:id="rId8" display="https://www.grandviewresearch.com/industry-analysis/ai-datasets-licensing-academic-research-publishing-market-report"/>
    <hyperlink ref="G38" r:id="rId8" display="https://www.grandviewresearch.com/industry-analysis/ai-datasets-licensing-academic-research-publishing-market-report"/>
    <hyperlink ref="G39" r:id="rId8" display="https://www.grandviewresearch.com/industry-analysis/ai-datasets-licensing-academic-research-publishing-market-report"/>
    <hyperlink ref="G40" r:id="rId8" display="https://www.grandviewresearch.com/industry-analysis/ai-datasets-licensing-academic-research-publishing-market-report"/>
    <hyperlink ref="G42" r:id="rId9" display="https://nces.ed.gov/programs/digest/d18/tables/dt18_317.40.asp"/>
    <hyperlink ref="G43" r:id="rId10" location=":~:text=Figure%206.1%2D1:%20World%20share%20of%20scientific%20publications(1)%2C,(2)BRIS:%20Brazil%2C%20Russia%2C%20India%20and%20South%20Africa." display="https://research-and-innovation.ec.europa.eu/system/files/2022-07/ec_rtd_srip-2022-report-chapter-6.pdf#:~:text=Figure%206.1%2D1:%20World%20share%20of%20scientific%20publications(1)%2C,(2)BRIS:%20Brazil%2C%20Russia%2C%20India%20and%20South%20Africa."/>
    <hyperlink ref="G46" r:id="rId11" display="https://www.globalinsightservices.com/reports/academic-software-market/"/>
    <hyperlink ref="G47" r:id="rId11" display="https://www.globalinsightservices.com/reports/academic-software-market/"/>
    <hyperlink ref="G16" r:id="rId4" display="https://firstmonday.org/ojs/index.php/fm/article/view/4370/3685"/>
  </hyperlinks>
  <pageMargins left="0.7" right="0.7" top="0.75" bottom="0.75" header="0.3" footer="0.3"/>
  <pageSetup paperSize="1" orientation="portrait"/>
  <headerFooter/>
  <ignoredErrors>
    <ignoredError sqref="L77" formulaRange="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17"/>
  <sheetViews>
    <sheetView showGridLines="0" zoomScale="83" zoomScaleNormal="83" workbookViewId="0">
      <selection activeCell="J18" sqref="J18"/>
    </sheetView>
  </sheetViews>
  <sheetFormatPr defaultColWidth="8.66071428571429" defaultRowHeight="16.8"/>
  <cols>
    <col min="1" max="1" width="4.5" style="4" customWidth="1"/>
    <col min="2" max="2" width="4.33035714285714" style="4" customWidth="1"/>
    <col min="3" max="3" width="36.1607142857143" style="4" customWidth="1"/>
    <col min="4" max="4" width="26.1607142857143" style="4" customWidth="1"/>
    <col min="5" max="6" width="18.5" style="4" customWidth="1"/>
    <col min="7" max="7" width="18.5" style="5" customWidth="1"/>
    <col min="8" max="8" width="15.1607142857143" style="4" customWidth="1"/>
    <col min="9" max="13" width="16.3303571428571" style="4" customWidth="1"/>
    <col min="14" max="14" width="13.5" style="4" customWidth="1"/>
    <col min="15" max="16384" width="8.66071428571429" style="4"/>
  </cols>
  <sheetData>
    <row r="1" ht="10.5" customHeight="1"/>
    <row r="2" ht="38.5" customHeight="1" spans="2:8">
      <c r="B2" s="6"/>
      <c r="C2" s="6"/>
      <c r="D2" s="8" t="s">
        <v>10</v>
      </c>
      <c r="E2" s="8"/>
      <c r="F2" s="8"/>
      <c r="G2" s="8"/>
      <c r="H2" s="8"/>
    </row>
    <row r="3" ht="16" customHeight="1" spans="4:8">
      <c r="D3" s="9"/>
      <c r="E3" s="9"/>
      <c r="F3" s="9"/>
      <c r="G3" s="9"/>
      <c r="H3" s="9"/>
    </row>
    <row r="4" ht="23.5" customHeight="1" spans="4:8">
      <c r="D4" s="9" t="s">
        <v>236</v>
      </c>
      <c r="E4" s="9"/>
      <c r="F4" s="9"/>
      <c r="G4" s="9"/>
      <c r="H4" s="9"/>
    </row>
    <row r="5" ht="21.5" customHeight="1" spans="4:8">
      <c r="D5" s="9"/>
      <c r="E5" s="9"/>
      <c r="F5" s="9"/>
      <c r="G5" s="9"/>
      <c r="H5" s="9"/>
    </row>
    <row r="6" ht="17.55" spans="1:19">
      <c r="A6" s="11"/>
      <c r="B6" s="11"/>
      <c r="C6" s="11"/>
      <c r="D6" s="11"/>
      <c r="E6" s="11"/>
      <c r="F6" s="11"/>
      <c r="G6" s="12"/>
      <c r="H6" s="11"/>
      <c r="I6" s="11"/>
      <c r="J6" s="11"/>
      <c r="K6" s="11"/>
      <c r="L6" s="11"/>
      <c r="M6" s="11"/>
      <c r="N6" s="11"/>
      <c r="O6" s="11"/>
      <c r="P6" s="11"/>
      <c r="Q6" s="11"/>
      <c r="R6" s="11"/>
      <c r="S6" s="11"/>
    </row>
    <row r="9" ht="23.2" spans="3:9">
      <c r="C9" s="82" t="s">
        <v>10</v>
      </c>
      <c r="I9" s="40"/>
    </row>
    <row r="11" ht="28" customHeight="1" spans="3:13">
      <c r="C11" s="83" t="s">
        <v>237</v>
      </c>
      <c r="D11" s="20" t="s">
        <v>238</v>
      </c>
      <c r="E11" s="20" t="s">
        <v>239</v>
      </c>
      <c r="F11" s="20" t="s">
        <v>240</v>
      </c>
      <c r="G11" s="20" t="s">
        <v>241</v>
      </c>
      <c r="H11" s="52"/>
      <c r="I11" s="52"/>
      <c r="J11" s="52"/>
      <c r="K11" s="52"/>
      <c r="L11" s="52"/>
      <c r="M11" s="52"/>
    </row>
    <row r="12" s="3" customFormat="1" ht="54" customHeight="1" spans="3:13">
      <c r="C12" s="123" t="s">
        <v>64</v>
      </c>
      <c r="D12" s="124">
        <f>'2. Control Panel'!E13</f>
        <v>0.046</v>
      </c>
      <c r="E12" s="49">
        <f>'3.1 Market Sizing Breakdown'!E16</f>
        <v>25600000000</v>
      </c>
      <c r="F12" s="49">
        <f>'3.1 Market Sizing Breakdown'!E17</f>
        <v>24832000000</v>
      </c>
      <c r="G12" s="49">
        <f>'3.1 Market Sizing Breakdown'!E18</f>
        <v>7449600000</v>
      </c>
      <c r="H12" s="72"/>
      <c r="I12" s="72"/>
      <c r="J12" s="72"/>
      <c r="K12" s="72"/>
      <c r="L12" s="72"/>
      <c r="M12" s="72"/>
    </row>
    <row r="13" s="3" customFormat="1" ht="54" customHeight="1" spans="3:13">
      <c r="C13" s="123" t="s">
        <v>242</v>
      </c>
      <c r="D13" s="125" t="str">
        <f>'2. Control Panel'!E36</f>
        <v>Unknown</v>
      </c>
      <c r="E13" s="57">
        <f>'3.1 Market Sizing Breakdown'!G25</f>
        <v>12662989.7435897</v>
      </c>
      <c r="F13" s="57">
        <f>'3.1 Market Sizing Breakdown'!G30</f>
        <v>12662989.7435897</v>
      </c>
      <c r="G13" s="57">
        <f>'3.1 Market Sizing Breakdown'!G31</f>
        <v>12662989.7435897</v>
      </c>
      <c r="H13" s="72"/>
      <c r="I13" s="72"/>
      <c r="J13" s="72"/>
      <c r="K13" s="72"/>
      <c r="L13" s="72"/>
      <c r="M13" s="72"/>
    </row>
    <row r="14" s="3" customFormat="1" ht="58" customHeight="1" spans="3:13">
      <c r="C14" s="126" t="s">
        <v>243</v>
      </c>
      <c r="D14" s="127">
        <f>'2. Control Panel'!E38</f>
        <v>0.268</v>
      </c>
      <c r="E14" s="130">
        <f>'3.1 Market Sizing Breakdown'!E38</f>
        <v>381800000</v>
      </c>
      <c r="F14" s="130">
        <f>'3.1 Market Sizing Breakdown'!E39</f>
        <v>123703200</v>
      </c>
      <c r="G14" s="130">
        <f>'3.1 Market Sizing Breakdown'!E40</f>
        <v>12370320</v>
      </c>
      <c r="H14" s="72"/>
      <c r="I14" s="72"/>
      <c r="J14" s="72"/>
      <c r="K14" s="72"/>
      <c r="L14" s="72"/>
      <c r="M14" s="72"/>
    </row>
    <row r="15" s="3" customFormat="1" ht="28" customHeight="1" spans="3:13">
      <c r="C15" s="128" t="s">
        <v>244</v>
      </c>
      <c r="D15" s="70"/>
      <c r="E15" s="131">
        <f>SUM(E12:E14)</f>
        <v>25994462989.7436</v>
      </c>
      <c r="F15" s="131">
        <f t="shared" ref="F15:G15" si="0">SUM(F12:F14)</f>
        <v>24968366189.7436</v>
      </c>
      <c r="G15" s="131">
        <f t="shared" si="0"/>
        <v>7474633309.74359</v>
      </c>
      <c r="H15" s="72"/>
      <c r="I15" s="72"/>
      <c r="J15" s="72"/>
      <c r="K15" s="72"/>
      <c r="L15" s="72"/>
      <c r="M15" s="72"/>
    </row>
    <row r="16" spans="3:7">
      <c r="C16" s="90"/>
      <c r="D16" s="91"/>
      <c r="E16" s="99"/>
      <c r="F16" s="100"/>
      <c r="G16" s="4"/>
    </row>
    <row r="17" spans="3:7">
      <c r="C17" s="129" t="s">
        <v>245</v>
      </c>
      <c r="D17" s="91"/>
      <c r="E17" s="99"/>
      <c r="F17" s="100"/>
      <c r="G17" s="4"/>
    </row>
  </sheetData>
  <mergeCells count="4">
    <mergeCell ref="D2:H2"/>
    <mergeCell ref="D3:H3"/>
    <mergeCell ref="D4:H4"/>
    <mergeCell ref="D5:H5"/>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40"/>
  <sheetViews>
    <sheetView showGridLines="0" zoomScale="116" zoomScaleNormal="116" topLeftCell="A13" workbookViewId="0">
      <selection activeCell="C12" sqref="C12"/>
    </sheetView>
  </sheetViews>
  <sheetFormatPr defaultColWidth="8.66071428571429" defaultRowHeight="16.8"/>
  <cols>
    <col min="1" max="1" width="4.5" style="4" customWidth="1"/>
    <col min="2" max="2" width="4.33035714285714" style="4" customWidth="1"/>
    <col min="3" max="3" width="36.1607142857143" style="5" customWidth="1"/>
    <col min="4" max="4" width="62.6607142857143" style="4" customWidth="1"/>
    <col min="5" max="5" width="21.8303571428571" style="4" customWidth="1"/>
    <col min="6"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246</v>
      </c>
      <c r="E2" s="8"/>
      <c r="F2" s="8"/>
      <c r="G2" s="8"/>
      <c r="H2" s="8"/>
    </row>
    <row r="3" ht="16" customHeight="1" spans="4:8">
      <c r="D3" s="9"/>
      <c r="E3" s="9"/>
      <c r="F3" s="9"/>
      <c r="G3" s="9"/>
      <c r="H3" s="9"/>
    </row>
    <row r="4" ht="23.5" customHeight="1" spans="4:8">
      <c r="D4" s="108" t="s">
        <v>247</v>
      </c>
      <c r="E4" s="9"/>
      <c r="F4" s="9"/>
      <c r="G4" s="9"/>
      <c r="H4" s="9"/>
    </row>
    <row r="5" ht="21.5" customHeight="1" spans="4:8">
      <c r="D5" s="9" t="s">
        <v>248</v>
      </c>
      <c r="E5" s="9"/>
      <c r="F5" s="9"/>
      <c r="G5" s="9"/>
      <c r="H5" s="9"/>
    </row>
    <row r="6" ht="17.55" spans="1:19">
      <c r="A6" s="11"/>
      <c r="B6" s="11"/>
      <c r="C6" s="12"/>
      <c r="D6" s="11"/>
      <c r="E6" s="11"/>
      <c r="F6" s="11"/>
      <c r="G6" s="12"/>
      <c r="H6" s="11"/>
      <c r="I6" s="11"/>
      <c r="J6" s="11"/>
      <c r="K6" s="11"/>
      <c r="L6" s="11"/>
      <c r="M6" s="11"/>
      <c r="N6" s="11"/>
      <c r="O6" s="11"/>
      <c r="P6" s="11"/>
      <c r="Q6" s="11"/>
      <c r="R6" s="11"/>
      <c r="S6" s="11"/>
    </row>
    <row r="8" ht="24" spans="3:3">
      <c r="C8" s="13" t="s">
        <v>249</v>
      </c>
    </row>
    <row r="9" spans="2:3">
      <c r="B9" s="14">
        <v>1</v>
      </c>
      <c r="C9" s="15" t="s">
        <v>250</v>
      </c>
    </row>
    <row r="10" spans="2:3">
      <c r="B10" s="14">
        <v>2</v>
      </c>
      <c r="C10" s="15" t="s">
        <v>251</v>
      </c>
    </row>
    <row r="11" spans="2:3">
      <c r="B11" s="14">
        <v>3</v>
      </c>
      <c r="C11" s="15" t="s">
        <v>252</v>
      </c>
    </row>
    <row r="12" spans="3:3">
      <c r="C12" s="14"/>
    </row>
    <row r="13" ht="24" spans="3:3">
      <c r="C13" s="13" t="s">
        <v>253</v>
      </c>
    </row>
    <row r="15" ht="28" customHeight="1" spans="3:13">
      <c r="C15" s="19" t="s">
        <v>254</v>
      </c>
      <c r="D15" s="20" t="s">
        <v>255</v>
      </c>
      <c r="E15" s="20" t="s">
        <v>256</v>
      </c>
      <c r="F15" s="52"/>
      <c r="G15" s="52"/>
      <c r="H15" s="52"/>
      <c r="I15" s="52"/>
      <c r="J15" s="52"/>
      <c r="K15" s="52"/>
      <c r="L15" s="52"/>
      <c r="M15" s="52"/>
    </row>
    <row r="16" ht="53" customHeight="1" spans="3:13">
      <c r="C16" s="29" t="s">
        <v>257</v>
      </c>
      <c r="D16" s="109" t="s">
        <v>258</v>
      </c>
      <c r="E16" s="114">
        <f>'2. Control Panel'!E12</f>
        <v>25600000000</v>
      </c>
      <c r="F16" s="22"/>
      <c r="G16" s="22"/>
      <c r="H16" s="22"/>
      <c r="I16" s="22"/>
      <c r="J16" s="22"/>
      <c r="K16" s="22"/>
      <c r="L16" s="22"/>
      <c r="M16" s="22"/>
    </row>
    <row r="17" s="3" customFormat="1" ht="104" customHeight="1" spans="3:13">
      <c r="C17" s="110" t="s">
        <v>259</v>
      </c>
      <c r="D17" s="111" t="s">
        <v>260</v>
      </c>
      <c r="E17" s="115">
        <f>'2. Control Panel'!E12*('2. Control Panel'!E16+'2. Control Panel'!E17+'2. Control Panel'!E18+'2. Control Panel'!E20)</f>
        <v>24832000000</v>
      </c>
      <c r="F17" s="42"/>
      <c r="G17" s="42"/>
      <c r="H17" s="42"/>
      <c r="I17" s="42"/>
      <c r="J17" s="42"/>
      <c r="K17" s="42"/>
      <c r="L17" s="42"/>
      <c r="M17" s="42"/>
    </row>
    <row r="18" s="3" customFormat="1" ht="53" customHeight="1" spans="3:13">
      <c r="C18" s="110" t="s">
        <v>261</v>
      </c>
      <c r="D18" s="112" t="s">
        <v>262</v>
      </c>
      <c r="E18" s="116">
        <f>E17*'2. Control Panel'!E14</f>
        <v>7449600000</v>
      </c>
      <c r="F18" s="22"/>
      <c r="G18" s="22"/>
      <c r="H18" s="22"/>
      <c r="I18" s="22"/>
      <c r="J18" s="22"/>
      <c r="K18" s="22"/>
      <c r="L18" s="22"/>
      <c r="M18" s="22"/>
    </row>
    <row r="19" spans="6:7">
      <c r="F19" s="5"/>
      <c r="G19" s="4"/>
    </row>
    <row r="20" spans="6:7">
      <c r="F20" s="5"/>
      <c r="G20" s="4"/>
    </row>
    <row r="22" ht="24" spans="3:3">
      <c r="C22" s="13" t="s">
        <v>263</v>
      </c>
    </row>
    <row r="24" spans="3:9">
      <c r="C24" s="19" t="s">
        <v>254</v>
      </c>
      <c r="D24" s="20" t="s">
        <v>255</v>
      </c>
      <c r="E24" s="117" t="s">
        <v>264</v>
      </c>
      <c r="F24" s="117" t="s">
        <v>265</v>
      </c>
      <c r="G24" s="20" t="s">
        <v>256</v>
      </c>
      <c r="I24" s="5"/>
    </row>
    <row r="25" ht="29" customHeight="1" spans="3:9">
      <c r="C25" s="25" t="s">
        <v>257</v>
      </c>
      <c r="D25" s="113" t="s">
        <v>266</v>
      </c>
      <c r="E25" s="113" t="s">
        <v>267</v>
      </c>
      <c r="F25" s="118">
        <f>'2. Control Panel'!E21*'2. Control Panel'!E26*'2. Control Panel'!E31</f>
        <v>7106000</v>
      </c>
      <c r="G25" s="119">
        <f>SUM(F25:F29)</f>
        <v>12662989.7435897</v>
      </c>
      <c r="I25" s="5"/>
    </row>
    <row r="26" ht="29" customHeight="1" spans="3:9">
      <c r="C26" s="25"/>
      <c r="D26" s="113"/>
      <c r="E26" s="113" t="s">
        <v>268</v>
      </c>
      <c r="F26" s="118">
        <f>'2. Control Panel'!E22*'2. Control Panel'!E27*'2. Control Panel'!E32</f>
        <v>1779200</v>
      </c>
      <c r="G26" s="119"/>
      <c r="I26" s="5"/>
    </row>
    <row r="27" ht="29" customHeight="1" spans="3:9">
      <c r="C27" s="25"/>
      <c r="D27" s="113"/>
      <c r="E27" s="113" t="s">
        <v>269</v>
      </c>
      <c r="F27" s="118">
        <f>'2. Control Panel'!E23*'2. Control Panel'!E28*'2. Control Panel'!E33</f>
        <v>907200</v>
      </c>
      <c r="G27" s="119"/>
      <c r="I27" s="5"/>
    </row>
    <row r="28" ht="29" customHeight="1" spans="3:9">
      <c r="C28" s="25"/>
      <c r="D28" s="113"/>
      <c r="E28" s="113" t="s">
        <v>270</v>
      </c>
      <c r="F28" s="118">
        <f>'2. Control Panel'!E24*'2. Control Panel'!E29*'2. Control Panel'!E34</f>
        <v>555000</v>
      </c>
      <c r="G28" s="119"/>
      <c r="I28" s="5"/>
    </row>
    <row r="29" ht="29" customHeight="1" spans="3:9">
      <c r="C29" s="29"/>
      <c r="D29" s="109"/>
      <c r="E29" s="109" t="s">
        <v>271</v>
      </c>
      <c r="F29" s="120">
        <f>'2. Control Panel'!E25*'2. Control Panel'!E30*'2. Control Panel'!E35</f>
        <v>2315589.74358974</v>
      </c>
      <c r="G29" s="114"/>
      <c r="I29" s="5"/>
    </row>
    <row r="30" ht="76" customHeight="1" spans="3:9">
      <c r="C30" s="110" t="s">
        <v>259</v>
      </c>
      <c r="D30" s="111" t="s">
        <v>272</v>
      </c>
      <c r="E30" s="121"/>
      <c r="F30" s="121"/>
      <c r="G30" s="115">
        <f>G25</f>
        <v>12662989.7435897</v>
      </c>
      <c r="I30" s="5"/>
    </row>
    <row r="31" ht="76" customHeight="1" spans="3:9">
      <c r="C31" s="110" t="s">
        <v>261</v>
      </c>
      <c r="D31" s="112" t="s">
        <v>273</v>
      </c>
      <c r="E31" s="122"/>
      <c r="F31" s="122"/>
      <c r="G31" s="116">
        <f>G30</f>
        <v>12662989.7435897</v>
      </c>
      <c r="I31" s="5"/>
    </row>
    <row r="35" ht="24" spans="3:3">
      <c r="C35" s="13" t="s">
        <v>274</v>
      </c>
    </row>
    <row r="37" spans="3:5">
      <c r="C37" s="19" t="s">
        <v>254</v>
      </c>
      <c r="D37" s="20" t="s">
        <v>255</v>
      </c>
      <c r="E37" s="20" t="s">
        <v>256</v>
      </c>
    </row>
    <row r="38" ht="59" customHeight="1" spans="3:5">
      <c r="C38" s="29" t="s">
        <v>257</v>
      </c>
      <c r="D38" s="109" t="s">
        <v>275</v>
      </c>
      <c r="E38" s="114">
        <f>'2. Control Panel'!E37</f>
        <v>381800000</v>
      </c>
    </row>
    <row r="39" ht="59" customHeight="1" spans="3:5">
      <c r="C39" s="110" t="s">
        <v>259</v>
      </c>
      <c r="D39" s="111" t="s">
        <v>276</v>
      </c>
      <c r="E39" s="115">
        <f>'2. Control Panel'!E37*'2. Control Panel'!E39</f>
        <v>123703200</v>
      </c>
    </row>
    <row r="40" ht="59" customHeight="1" spans="3:5">
      <c r="C40" s="110" t="s">
        <v>261</v>
      </c>
      <c r="D40" s="112" t="s">
        <v>277</v>
      </c>
      <c r="E40" s="116">
        <f>'2. Control Panel'!E37*'2. Control Panel'!E39*'2. Control Panel'!E41</f>
        <v>12370320</v>
      </c>
    </row>
  </sheetData>
  <mergeCells count="7">
    <mergeCell ref="D2:H2"/>
    <mergeCell ref="D3:H3"/>
    <mergeCell ref="D4:H4"/>
    <mergeCell ref="D5:H5"/>
    <mergeCell ref="C25:C29"/>
    <mergeCell ref="D25:D29"/>
    <mergeCell ref="G25:G29"/>
  </mergeCell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51"/>
  <sheetViews>
    <sheetView showGridLines="0" zoomScale="62" zoomScaleNormal="62" topLeftCell="F1" workbookViewId="0">
      <selection activeCell="N60" sqref="N60"/>
    </sheetView>
  </sheetViews>
  <sheetFormatPr defaultColWidth="8.66071428571429" defaultRowHeight="16.8"/>
  <cols>
    <col min="1" max="1" width="4.5" style="4" customWidth="1"/>
    <col min="2" max="2" width="4.33035714285714" style="4" customWidth="1"/>
    <col min="3" max="3" width="36.1607142857143" style="4" customWidth="1"/>
    <col min="4" max="4" width="21.3303571428571" style="4" customWidth="1"/>
    <col min="5" max="6" width="13.5" style="4" customWidth="1"/>
    <col min="7" max="7" width="16" style="5" customWidth="1"/>
    <col min="8" max="8" width="15.1607142857143" style="4" customWidth="1"/>
    <col min="9" max="13" width="16.3303571428571" style="4" customWidth="1"/>
    <col min="14" max="14" width="21.6607142857143" style="4" customWidth="1"/>
    <col min="15" max="16384" width="8.66071428571429" style="4"/>
  </cols>
  <sheetData>
    <row r="1" ht="10.5" customHeight="1"/>
    <row r="2" ht="38.5" customHeight="1" spans="2:8">
      <c r="B2" s="6"/>
      <c r="C2" s="6"/>
      <c r="D2" s="8" t="s">
        <v>278</v>
      </c>
      <c r="E2" s="8"/>
      <c r="F2" s="8"/>
      <c r="G2" s="8"/>
      <c r="H2" s="8"/>
    </row>
    <row r="3" ht="16" customHeight="1" spans="4:8">
      <c r="D3" s="9"/>
      <c r="E3" s="9"/>
      <c r="F3" s="9"/>
      <c r="G3" s="9"/>
      <c r="H3" s="9"/>
    </row>
    <row r="4" ht="23.5" customHeight="1" spans="4:8">
      <c r="D4" s="9" t="s">
        <v>279</v>
      </c>
      <c r="E4" s="9"/>
      <c r="F4" s="9"/>
      <c r="G4" s="9"/>
      <c r="H4" s="9"/>
    </row>
    <row r="5" ht="21.5" customHeight="1" spans="4:8">
      <c r="D5" s="9" t="s">
        <v>280</v>
      </c>
      <c r="E5" s="9"/>
      <c r="F5" s="9"/>
      <c r="G5" s="9"/>
      <c r="H5" s="9"/>
    </row>
    <row r="6" ht="21.5" customHeight="1" spans="4:8">
      <c r="D6" s="10" t="s">
        <v>281</v>
      </c>
      <c r="E6" s="9"/>
      <c r="F6" s="9"/>
      <c r="G6" s="9"/>
      <c r="H6" s="9"/>
    </row>
    <row r="7" ht="17.55" spans="1:19">
      <c r="A7" s="11"/>
      <c r="B7" s="11"/>
      <c r="C7" s="11"/>
      <c r="D7" s="11"/>
      <c r="E7" s="11"/>
      <c r="F7" s="11"/>
      <c r="G7" s="12"/>
      <c r="H7" s="11"/>
      <c r="I7" s="11"/>
      <c r="J7" s="11"/>
      <c r="K7" s="11"/>
      <c r="L7" s="11"/>
      <c r="M7" s="11"/>
      <c r="N7" s="11"/>
      <c r="O7" s="11"/>
      <c r="P7" s="11"/>
      <c r="Q7" s="11"/>
      <c r="R7" s="11"/>
      <c r="S7" s="11"/>
    </row>
    <row r="9" ht="17.55" spans="4:4">
      <c r="D9" s="79" t="s">
        <v>282</v>
      </c>
    </row>
    <row r="10" ht="39" customHeight="1" spans="3:4">
      <c r="C10" s="80" t="s">
        <v>283</v>
      </c>
      <c r="D10" s="81" t="s">
        <v>38</v>
      </c>
    </row>
    <row r="13" ht="23.2" spans="3:10">
      <c r="C13" s="82" t="s">
        <v>284</v>
      </c>
      <c r="G13" s="4"/>
      <c r="H13" s="5"/>
      <c r="J13" s="40"/>
    </row>
    <row r="14" spans="7:8">
      <c r="G14" s="4"/>
      <c r="H14" s="5"/>
    </row>
    <row r="15" ht="28" customHeight="1" spans="3:14">
      <c r="C15" s="83" t="s">
        <v>285</v>
      </c>
      <c r="D15" s="83" t="s">
        <v>61</v>
      </c>
      <c r="E15" s="20">
        <v>2026</v>
      </c>
      <c r="F15" s="20">
        <v>2027</v>
      </c>
      <c r="G15" s="20">
        <v>2028</v>
      </c>
      <c r="H15" s="20">
        <v>2029</v>
      </c>
      <c r="I15" s="20">
        <v>2030</v>
      </c>
      <c r="J15" s="20">
        <v>2031</v>
      </c>
      <c r="K15" s="20">
        <v>2032</v>
      </c>
      <c r="L15" s="20">
        <v>2033</v>
      </c>
      <c r="M15" s="20">
        <v>2034</v>
      </c>
      <c r="N15" s="20">
        <v>2035</v>
      </c>
    </row>
    <row r="16" s="3" customFormat="1" ht="54" customHeight="1" spans="3:14">
      <c r="C16" s="84" t="s">
        <v>286</v>
      </c>
      <c r="D16" s="25" t="s">
        <v>89</v>
      </c>
      <c r="E16" s="57">
        <f t="array" ref="E16">_xlfn.IFS($D$10="Low",'2. Control Panel'!$L$15*'4.1 Revenue &amp; Cost Breakdown'!D57,'4. Financial Projection Summary'!$D$10="Moderate",'2. Control Panel'!$L$16*'4.1 Revenue &amp; Cost Breakdown'!D57,'4. Financial Projection Summary'!$D$10="High",'2. Control Panel'!$L$17*'4.1 Revenue &amp; Cost Breakdown'!D57)</f>
        <v>0</v>
      </c>
      <c r="F16" s="57">
        <f t="array" ref="F16">_xlfn.IFS($D$10="Low",'2. Control Panel'!$L$15*'4.1 Revenue &amp; Cost Breakdown'!E57,'4. Financial Projection Summary'!$D$10="Moderate",'2. Control Panel'!$L$16*'4.1 Revenue &amp; Cost Breakdown'!E57,'4. Financial Projection Summary'!$D$10="High",'2. Control Panel'!$L$17*'4.1 Revenue &amp; Cost Breakdown'!E57)</f>
        <v>3000000</v>
      </c>
      <c r="G16" s="57">
        <f t="array" ref="G16">_xlfn.IFS($D$10="Low",'2. Control Panel'!$L$15*'4.1 Revenue &amp; Cost Breakdown'!F57,'4. Financial Projection Summary'!$D$10="Moderate",'2. Control Panel'!$L$16*'4.1 Revenue &amp; Cost Breakdown'!F57,'4. Financial Projection Summary'!$D$10="High",'2. Control Panel'!$L$17*'4.1 Revenue &amp; Cost Breakdown'!F57)</f>
        <v>9000000</v>
      </c>
      <c r="H16" s="57">
        <f t="array" ref="H16">_xlfn.IFS($D$10="Low",'2. Control Panel'!$L$15*'4.1 Revenue &amp; Cost Breakdown'!G57,'4. Financial Projection Summary'!$D$10="Moderate",'2. Control Panel'!$L$16*'4.1 Revenue &amp; Cost Breakdown'!G57,'4. Financial Projection Summary'!$D$10="High",'2. Control Panel'!$L$17*'4.1 Revenue &amp; Cost Breakdown'!G57)</f>
        <v>14175000</v>
      </c>
      <c r="I16" s="57">
        <f t="array" ref="I16">_xlfn.IFS($D$10="Low",'2. Control Panel'!$L$15*'4.1 Revenue &amp; Cost Breakdown'!H57,'4. Financial Projection Summary'!$D$10="Moderate",'2. Control Panel'!$L$16*'4.1 Revenue &amp; Cost Breakdown'!H57,'4. Financial Projection Summary'!$D$10="High",'2. Control Panel'!$L$17*'4.1 Revenue &amp; Cost Breakdown'!H57)</f>
        <v>22325625</v>
      </c>
      <c r="J16" s="57">
        <f t="array" ref="J16">_xlfn.IFS($D$10="Low",'2. Control Panel'!$L$15*'4.1 Revenue &amp; Cost Breakdown'!I57,'4. Financial Projection Summary'!$D$10="Moderate",'2. Control Panel'!$L$16*'4.1 Revenue &amp; Cost Breakdown'!I57,'4. Financial Projection Summary'!$D$10="High",'2. Control Panel'!$L$17*'4.1 Revenue &amp; Cost Breakdown'!I57)</f>
        <v>37507050</v>
      </c>
      <c r="K16" s="57">
        <f t="array" ref="K16">_xlfn.IFS($D$10="Low",'2. Control Panel'!$L$15*'4.1 Revenue &amp; Cost Breakdown'!J57,'4. Financial Projection Summary'!$D$10="Moderate",'2. Control Panel'!$L$16*'4.1 Revenue &amp; Cost Breakdown'!J57,'4. Financial Projection Summary'!$D$10="High",'2. Control Panel'!$L$17*'4.1 Revenue &amp; Cost Breakdown'!J57)</f>
        <v>61256652.975</v>
      </c>
      <c r="L16" s="57">
        <f t="array" ref="L16">_xlfn.IFS($D$10="Low",'2. Control Panel'!$L$15*'4.1 Revenue &amp; Cost Breakdown'!K57,'4. Financial Projection Summary'!$D$10="Moderate",'2. Control Panel'!$L$16*'4.1 Revenue &amp; Cost Breakdown'!K57,'4. Financial Projection Summary'!$D$10="High",'2. Control Panel'!$L$17*'4.1 Revenue &amp; Cost Breakdown'!K57)</f>
        <v>97782567.16725</v>
      </c>
      <c r="M16" s="57">
        <f t="array" ref="M16">_xlfn.IFS($D$10="Low",'2. Control Panel'!$L$15*'4.1 Revenue &amp; Cost Breakdown'!L57,'4. Financial Projection Summary'!$D$10="Moderate",'2. Control Panel'!$L$16*'4.1 Revenue &amp; Cost Breakdown'!L57,'4. Financial Projection Summary'!$D$10="High",'2. Control Panel'!$L$17*'4.1 Revenue &amp; Cost Breakdown'!L57)</f>
        <v>144262903.82805</v>
      </c>
      <c r="N16" s="57">
        <f t="array" ref="N16">_xlfn.IFS($D$10="Low",'2. Control Panel'!$L$15*'4.1 Revenue &amp; Cost Breakdown'!M57,'4. Financial Projection Summary'!$D$10="Moderate",'2. Control Panel'!$L$16*'4.1 Revenue &amp; Cost Breakdown'!M57,'4. Financial Projection Summary'!$D$10="High",'2. Control Panel'!$L$17*'4.1 Revenue &amp; Cost Breakdown'!M57)</f>
        <v>212749081.184273</v>
      </c>
    </row>
    <row r="17" s="3" customFormat="1" ht="54" customHeight="1" spans="3:14">
      <c r="C17" s="84"/>
      <c r="D17" s="25" t="s">
        <v>287</v>
      </c>
      <c r="E17" s="57">
        <f t="array" ref="E17">_xlfn.IFS($D$10="Low",'2. Control Panel'!$L$15*'4.1 Revenue &amp; Cost Breakdown'!D67,'4. Financial Projection Summary'!$D$10="Moderate",'2. Control Panel'!$L$16*'4.1 Revenue &amp; Cost Breakdown'!D67,'4. Financial Projection Summary'!$D$10="High",'2. Control Panel'!$L$17*'4.1 Revenue &amp; Cost Breakdown'!D67)</f>
        <v>0</v>
      </c>
      <c r="F17" s="57">
        <f t="array" ref="F17">_xlfn.IFS($D$10="Low",'2. Control Panel'!$L$15*'4.1 Revenue &amp; Cost Breakdown'!E67,'4. Financial Projection Summary'!$D$10="Moderate",'2. Control Panel'!$L$16*'4.1 Revenue &amp; Cost Breakdown'!E67,'4. Financial Projection Summary'!$D$10="High",'2. Control Panel'!$L$17*'4.1 Revenue &amp; Cost Breakdown'!E67)</f>
        <v>0</v>
      </c>
      <c r="G17" s="57">
        <f t="array" ref="G17">_xlfn.IFS($D$10="Low",'2. Control Panel'!$L$15*'4.1 Revenue &amp; Cost Breakdown'!F67,'4. Financial Projection Summary'!$D$10="Moderate",'2. Control Panel'!$L$16*'4.1 Revenue &amp; Cost Breakdown'!F67,'4. Financial Projection Summary'!$D$10="High",'2. Control Panel'!$L$17*'4.1 Revenue &amp; Cost Breakdown'!F67)</f>
        <v>0</v>
      </c>
      <c r="H17" s="57">
        <f t="array" ref="H17">_xlfn.IFS($D$10="Low",'2. Control Panel'!$L$15*'4.1 Revenue &amp; Cost Breakdown'!G67,'4. Financial Projection Summary'!$D$10="Moderate",'2. Control Panel'!$L$16*'4.1 Revenue &amp; Cost Breakdown'!G67,'4. Financial Projection Summary'!$D$10="High",'2. Control Panel'!$L$17*'4.1 Revenue &amp; Cost Breakdown'!G67)</f>
        <v>0</v>
      </c>
      <c r="I17" s="57">
        <f t="array" ref="I17">_xlfn.IFS($D$10="Low",'2. Control Panel'!$L$15*'4.1 Revenue &amp; Cost Breakdown'!H67,'4. Financial Projection Summary'!$D$10="Moderate",'2. Control Panel'!$L$16*'4.1 Revenue &amp; Cost Breakdown'!H67,'4. Financial Projection Summary'!$D$10="High",'2. Control Panel'!$L$17*'4.1 Revenue &amp; Cost Breakdown'!H67)</f>
        <v>0</v>
      </c>
      <c r="J17" s="57">
        <f t="array" ref="J17">_xlfn.IFS($D$10="Low",'2. Control Panel'!$L$15*'4.1 Revenue &amp; Cost Breakdown'!I67,'4. Financial Projection Summary'!$D$10="Moderate",'2. Control Panel'!$L$16*'4.1 Revenue &amp; Cost Breakdown'!I67,'4. Financial Projection Summary'!$D$10="High",'2. Control Panel'!$L$17*'4.1 Revenue &amp; Cost Breakdown'!I67)</f>
        <v>173643750</v>
      </c>
      <c r="K17" s="57">
        <f t="array" ref="K17">_xlfn.IFS($D$10="Low",'2. Control Panel'!$L$15*'4.1 Revenue &amp; Cost Breakdown'!J67,'4. Financial Projection Summary'!$D$10="Moderate",'2. Control Panel'!$L$16*'4.1 Revenue &amp; Cost Breakdown'!J67,'4. Financial Projection Summary'!$D$10="High",'2. Control Panel'!$L$17*'4.1 Revenue &amp; Cost Breakdown'!J67)</f>
        <v>200558531.25</v>
      </c>
      <c r="L17" s="57">
        <f t="array" ref="L17">_xlfn.IFS($D$10="Low",'2. Control Panel'!$L$15*'4.1 Revenue &amp; Cost Breakdown'!K67,'4. Financial Projection Summary'!$D$10="Moderate",'2. Control Panel'!$L$16*'4.1 Revenue &amp; Cost Breakdown'!K67,'4. Financial Projection Summary'!$D$10="High",'2. Control Panel'!$L$17*'4.1 Revenue &amp; Cost Breakdown'!K67)</f>
        <v>231645103.59375</v>
      </c>
      <c r="M17" s="57">
        <f t="array" ref="M17">_xlfn.IFS($D$10="Low",'2. Control Panel'!$L$15*'4.1 Revenue &amp; Cost Breakdown'!L67,'4. Financial Projection Summary'!$D$10="Moderate",'2. Control Panel'!$L$16*'4.1 Revenue &amp; Cost Breakdown'!L67,'4. Financial Projection Summary'!$D$10="High",'2. Control Panel'!$L$17*'4.1 Revenue &amp; Cost Breakdown'!L67)</f>
        <v>267550094.650781</v>
      </c>
      <c r="N17" s="57">
        <f t="array" ref="N17">_xlfn.IFS($D$10="Low",'2. Control Panel'!$L$15*'4.1 Revenue &amp; Cost Breakdown'!M67,'4. Financial Projection Summary'!$D$10="Moderate",'2. Control Panel'!$L$16*'4.1 Revenue &amp; Cost Breakdown'!M67,'4. Financial Projection Summary'!$D$10="High",'2. Control Panel'!$L$17*'4.1 Revenue &amp; Cost Breakdown'!M67)</f>
        <v>309020359.321652</v>
      </c>
    </row>
    <row r="18" s="3" customFormat="1" ht="54" customHeight="1" spans="3:14">
      <c r="C18" s="84"/>
      <c r="D18" s="25" t="s">
        <v>288</v>
      </c>
      <c r="E18" s="57">
        <f t="array" ref="E18">_xlfn.IFS($D$10="Low",'2. Control Panel'!$L$15*'4.1 Revenue &amp; Cost Breakdown'!D77,'4. Financial Projection Summary'!$D$10="Moderate",'2. Control Panel'!$L$16*'4.1 Revenue &amp; Cost Breakdown'!D77,'4. Financial Projection Summary'!$D$10="High",'2. Control Panel'!$L$17*'4.1 Revenue &amp; Cost Breakdown'!D77)</f>
        <v>0</v>
      </c>
      <c r="F18" s="57">
        <f t="array" ref="F18">_xlfn.IFS($D$10="Low",'2. Control Panel'!$L$15*'4.1 Revenue &amp; Cost Breakdown'!E77,'4. Financial Projection Summary'!$D$10="Moderate",'2. Control Panel'!$L$16*'4.1 Revenue &amp; Cost Breakdown'!E77,'4. Financial Projection Summary'!$D$10="High",'2. Control Panel'!$L$17*'4.1 Revenue &amp; Cost Breakdown'!E77)</f>
        <v>0</v>
      </c>
      <c r="G18" s="57">
        <f t="array" ref="G18">_xlfn.IFS($D$10="Low",'2. Control Panel'!$L$15*'4.1 Revenue &amp; Cost Breakdown'!F77,'4. Financial Projection Summary'!$D$10="Moderate",'2. Control Panel'!$L$16*'4.1 Revenue &amp; Cost Breakdown'!F77,'4. Financial Projection Summary'!$D$10="High",'2. Control Panel'!$L$17*'4.1 Revenue &amp; Cost Breakdown'!F77)</f>
        <v>0</v>
      </c>
      <c r="H18" s="57">
        <f t="array" ref="H18">_xlfn.IFS($D$10="Low",'2. Control Panel'!$L$15*'4.1 Revenue &amp; Cost Breakdown'!G77,'4. Financial Projection Summary'!$D$10="Moderate",'2. Control Panel'!$L$16*'4.1 Revenue &amp; Cost Breakdown'!G77,'4. Financial Projection Summary'!$D$10="High",'2. Control Panel'!$L$17*'4.1 Revenue &amp; Cost Breakdown'!G77)</f>
        <v>0</v>
      </c>
      <c r="I18" s="57">
        <f t="array" ref="I18">_xlfn.IFS($D$10="Low",'2. Control Panel'!$L$15*'4.1 Revenue &amp; Cost Breakdown'!H77,'4. Financial Projection Summary'!$D$10="Moderate",'2. Control Panel'!$L$16*'4.1 Revenue &amp; Cost Breakdown'!H77,'4. Financial Projection Summary'!$D$10="High",'2. Control Panel'!$L$17*'4.1 Revenue &amp; Cost Breakdown'!H77)</f>
        <v>0</v>
      </c>
      <c r="J18" s="57">
        <f t="array" ref="J18">_xlfn.IFS($D$10="Low",'2. Control Panel'!$L$15*'4.1 Revenue &amp; Cost Breakdown'!I77,'4. Financial Projection Summary'!$D$10="Moderate",'2. Control Panel'!$L$16*'4.1 Revenue &amp; Cost Breakdown'!I77,'4. Financial Projection Summary'!$D$10="High",'2. Control Panel'!$L$17*'4.1 Revenue &amp; Cost Breakdown'!I77)</f>
        <v>28940625</v>
      </c>
      <c r="K18" s="57">
        <f t="array" ref="K18">_xlfn.IFS($D$10="Low",'2. Control Panel'!$L$15*'4.1 Revenue &amp; Cost Breakdown'!J77,'4. Financial Projection Summary'!$D$10="Moderate",'2. Control Panel'!$L$16*'4.1 Revenue &amp; Cost Breakdown'!J77,'4. Financial Projection Summary'!$D$10="High",'2. Control Panel'!$L$17*'4.1 Revenue &amp; Cost Breakdown'!J77)</f>
        <v>33426421.875</v>
      </c>
      <c r="L18" s="57">
        <f t="array" ref="L18">_xlfn.IFS($D$10="Low",'2. Control Panel'!$L$15*'4.1 Revenue &amp; Cost Breakdown'!K77,'4. Financial Projection Summary'!$D$10="Moderate",'2. Control Panel'!$L$16*'4.1 Revenue &amp; Cost Breakdown'!K77,'4. Financial Projection Summary'!$D$10="High",'2. Control Panel'!$L$17*'4.1 Revenue &amp; Cost Breakdown'!K77)</f>
        <v>38607517.265625</v>
      </c>
      <c r="M18" s="57">
        <f t="array" ref="M18">_xlfn.IFS($D$10="Low",'2. Control Panel'!$L$15*'4.1 Revenue &amp; Cost Breakdown'!L77,'4. Financial Projection Summary'!$D$10="Moderate",'2. Control Panel'!$L$16*'4.1 Revenue &amp; Cost Breakdown'!L77,'4. Financial Projection Summary'!$D$10="High",'2. Control Panel'!$L$17*'4.1 Revenue &amp; Cost Breakdown'!L77)</f>
        <v>44591682.4417969</v>
      </c>
      <c r="N18" s="57">
        <f t="array" ref="N18">_xlfn.IFS($D$10="Low",'2. Control Panel'!$L$15*'4.1 Revenue &amp; Cost Breakdown'!M77,'4. Financial Projection Summary'!$D$10="Moderate",'2. Control Panel'!$L$16*'4.1 Revenue &amp; Cost Breakdown'!M77,'4. Financial Projection Summary'!$D$10="High",'2. Control Panel'!$L$17*'4.1 Revenue &amp; Cost Breakdown'!M77)</f>
        <v>51503393.2202754</v>
      </c>
    </row>
    <row r="19" s="3" customFormat="1" ht="26" customHeight="1" spans="3:14">
      <c r="C19" s="85"/>
      <c r="D19" s="86" t="s">
        <v>289</v>
      </c>
      <c r="E19" s="96">
        <f>SUM(E16:E18)</f>
        <v>0</v>
      </c>
      <c r="F19" s="96">
        <f t="shared" ref="F19:N19" si="0">SUM(F16:F18)</f>
        <v>3000000</v>
      </c>
      <c r="G19" s="96">
        <f t="shared" si="0"/>
        <v>9000000</v>
      </c>
      <c r="H19" s="96">
        <f t="shared" si="0"/>
        <v>14175000</v>
      </c>
      <c r="I19" s="96">
        <f t="shared" si="0"/>
        <v>22325625</v>
      </c>
      <c r="J19" s="96">
        <f t="shared" si="0"/>
        <v>240091425</v>
      </c>
      <c r="K19" s="96">
        <f t="shared" si="0"/>
        <v>295241606.1</v>
      </c>
      <c r="L19" s="96">
        <f t="shared" si="0"/>
        <v>368035188.026625</v>
      </c>
      <c r="M19" s="96">
        <f t="shared" si="0"/>
        <v>456404680.920628</v>
      </c>
      <c r="N19" s="96">
        <f t="shared" si="0"/>
        <v>573272833.7262</v>
      </c>
    </row>
    <row r="20" s="3" customFormat="1" ht="58" customHeight="1" spans="3:14">
      <c r="C20" s="87" t="s">
        <v>290</v>
      </c>
      <c r="D20" s="88" t="s">
        <v>169</v>
      </c>
      <c r="E20" s="97">
        <f t="array" ref="E20">_xlfn.IFS($D$10="Low",'2. Control Panel'!$L$15*'4.1 Revenue &amp; Cost Breakdown'!D87,'4. Financial Projection Summary'!$D$10="Moderate",'2. Control Panel'!$L$16*'4.1 Revenue &amp; Cost Breakdown'!D87,'4. Financial Projection Summary'!$D$10="High",'2. Control Panel'!$L$17*'4.1 Revenue &amp; Cost Breakdown'!D87)</f>
        <v>0</v>
      </c>
      <c r="F20" s="97">
        <f t="array" ref="F20">_xlfn.IFS($D$10="Low",'2. Control Panel'!$L$15*'4.1 Revenue &amp; Cost Breakdown'!E87,'4. Financial Projection Summary'!$D$10="Moderate",'2. Control Panel'!$L$16*'4.1 Revenue &amp; Cost Breakdown'!E87,'4. Financial Projection Summary'!$D$10="High",'2. Control Panel'!$L$17*'4.1 Revenue &amp; Cost Breakdown'!E87)</f>
        <v>0</v>
      </c>
      <c r="G20" s="97">
        <f t="array" ref="G20">_xlfn.IFS($D$10="Low",'2. Control Panel'!$L$15*'4.1 Revenue &amp; Cost Breakdown'!F87,'4. Financial Projection Summary'!$D$10="Moderate",'2. Control Panel'!$L$16*'4.1 Revenue &amp; Cost Breakdown'!F87,'4. Financial Projection Summary'!$D$10="High",'2. Control Panel'!$L$17*'4.1 Revenue &amp; Cost Breakdown'!F87)</f>
        <v>0</v>
      </c>
      <c r="H20" s="97">
        <f t="array" ref="H20">_xlfn.IFS($D$10="Low",'2. Control Panel'!$L$15*'4.1 Revenue &amp; Cost Breakdown'!G87,'4. Financial Projection Summary'!$D$10="Moderate",'2. Control Panel'!$L$16*'4.1 Revenue &amp; Cost Breakdown'!G87,'4. Financial Projection Summary'!$D$10="High",'2. Control Panel'!$L$17*'4.1 Revenue &amp; Cost Breakdown'!G87)</f>
        <v>0</v>
      </c>
      <c r="I20" s="97">
        <f t="array" ref="I20">_xlfn.IFS($D$10="Low",'2. Control Panel'!$L$15*'4.1 Revenue &amp; Cost Breakdown'!H87,'4. Financial Projection Summary'!$D$10="Moderate",'2. Control Panel'!$L$16*'4.1 Revenue &amp; Cost Breakdown'!H87,'4. Financial Projection Summary'!$D$10="High",'2. Control Panel'!$L$17*'4.1 Revenue &amp; Cost Breakdown'!H87)</f>
        <v>0</v>
      </c>
      <c r="J20" s="97">
        <f t="array" ref="J20">_xlfn.IFS($D$10="Low",'2. Control Panel'!$L$15*'4.1 Revenue &amp; Cost Breakdown'!I87,'4. Financial Projection Summary'!$D$10="Moderate",'2. Control Panel'!$L$16*'4.1 Revenue &amp; Cost Breakdown'!I87,'4. Financial Projection Summary'!$D$10="High",'2. Control Panel'!$L$17*'4.1 Revenue &amp; Cost Breakdown'!I87)</f>
        <v>57881250</v>
      </c>
      <c r="K20" s="97">
        <f t="array" ref="K20">_xlfn.IFS($D$10="Low",'2. Control Panel'!$L$15*'4.1 Revenue &amp; Cost Breakdown'!J87,'4. Financial Projection Summary'!$D$10="Moderate",'2. Control Panel'!$L$16*'4.1 Revenue &amp; Cost Breakdown'!J87,'4. Financial Projection Summary'!$D$10="High",'2. Control Panel'!$L$17*'4.1 Revenue &amp; Cost Breakdown'!J87)</f>
        <v>66852843.75</v>
      </c>
      <c r="L20" s="97">
        <f t="array" ref="L20">_xlfn.IFS($D$10="Low",'2. Control Panel'!$L$15*'4.1 Revenue &amp; Cost Breakdown'!K87,'4. Financial Projection Summary'!$D$10="Moderate",'2. Control Panel'!$L$16*'4.1 Revenue &amp; Cost Breakdown'!K87,'4. Financial Projection Summary'!$D$10="High",'2. Control Panel'!$L$17*'4.1 Revenue &amp; Cost Breakdown'!K87)</f>
        <v>77215034.53125</v>
      </c>
      <c r="M20" s="97">
        <f t="array" ref="M20">_xlfn.IFS($D$10="Low",'2. Control Panel'!$L$15*'4.1 Revenue &amp; Cost Breakdown'!L87,'4. Financial Projection Summary'!$D$10="Moderate",'2. Control Panel'!$L$16*'4.1 Revenue &amp; Cost Breakdown'!L87,'4. Financial Projection Summary'!$D$10="High",'2. Control Panel'!$L$17*'4.1 Revenue &amp; Cost Breakdown'!L87)</f>
        <v>89183364.8835938</v>
      </c>
      <c r="N20" s="97">
        <f t="array" ref="N20">_xlfn.IFS($D$10="Low",'2. Control Panel'!$L$15*'4.1 Revenue &amp; Cost Breakdown'!M87,'4. Financial Projection Summary'!$D$10="Moderate",'2. Control Panel'!$L$16*'4.1 Revenue &amp; Cost Breakdown'!M87,'4. Financial Projection Summary'!$D$10="High",'2. Control Panel'!$L$17*'4.1 Revenue &amp; Cost Breakdown'!M87)</f>
        <v>103006786.440551</v>
      </c>
    </row>
    <row r="21" s="3" customFormat="1" ht="58" customHeight="1" spans="3:14">
      <c r="C21" s="84"/>
      <c r="D21" s="25" t="s">
        <v>178</v>
      </c>
      <c r="E21" s="57">
        <f t="array" ref="E21">_xlfn.IFS($D$10="Low",'2. Control Panel'!$L$15*'4.1 Revenue &amp; Cost Breakdown'!D97,'4. Financial Projection Summary'!$D$10="Moderate",'2. Control Panel'!$L$16*'4.1 Revenue &amp; Cost Breakdown'!D97,'4. Financial Projection Summary'!$D$10="High",'2. Control Panel'!$L$17*'4.1 Revenue &amp; Cost Breakdown'!D97)</f>
        <v>0</v>
      </c>
      <c r="F21" s="57">
        <f t="array" ref="F21">_xlfn.IFS($D$10="Low",'2. Control Panel'!$L$15*'4.1 Revenue &amp; Cost Breakdown'!E97,'4. Financial Projection Summary'!$D$10="Moderate",'2. Control Panel'!$L$16*'4.1 Revenue &amp; Cost Breakdown'!E97,'4. Financial Projection Summary'!$D$10="High",'2. Control Panel'!$L$17*'4.1 Revenue &amp; Cost Breakdown'!E97)</f>
        <v>0</v>
      </c>
      <c r="G21" s="57">
        <f t="array" ref="G21">_xlfn.IFS($D$10="Low",'2. Control Panel'!$L$15*'4.1 Revenue &amp; Cost Breakdown'!F97,'4. Financial Projection Summary'!$D$10="Moderate",'2. Control Panel'!$L$16*'4.1 Revenue &amp; Cost Breakdown'!F97,'4. Financial Projection Summary'!$D$10="High",'2. Control Panel'!$L$17*'4.1 Revenue &amp; Cost Breakdown'!F97)</f>
        <v>0</v>
      </c>
      <c r="H21" s="57">
        <f t="array" ref="H21">_xlfn.IFS($D$10="Low",'2. Control Panel'!$L$15*'4.1 Revenue &amp; Cost Breakdown'!G97,'4. Financial Projection Summary'!$D$10="Moderate",'2. Control Panel'!$L$16*'4.1 Revenue &amp; Cost Breakdown'!G97,'4. Financial Projection Summary'!$D$10="High",'2. Control Panel'!$L$17*'4.1 Revenue &amp; Cost Breakdown'!G97)</f>
        <v>0</v>
      </c>
      <c r="I21" s="57">
        <f t="array" ref="I21">_xlfn.IFS($D$10="Low",'2. Control Panel'!$L$15*'4.1 Revenue &amp; Cost Breakdown'!H97,'4. Financial Projection Summary'!$D$10="Moderate",'2. Control Panel'!$L$16*'4.1 Revenue &amp; Cost Breakdown'!H97,'4. Financial Projection Summary'!$D$10="High",'2. Control Panel'!$L$17*'4.1 Revenue &amp; Cost Breakdown'!H97)</f>
        <v>0</v>
      </c>
      <c r="J21" s="57">
        <f t="array" ref="J21">_xlfn.IFS($D$10="Low",'2. Control Panel'!$L$15*'4.1 Revenue &amp; Cost Breakdown'!I97,'4. Financial Projection Summary'!$D$10="Moderate",'2. Control Panel'!$L$16*'4.1 Revenue &amp; Cost Breakdown'!I97,'4. Financial Projection Summary'!$D$10="High",'2. Control Panel'!$L$17*'4.1 Revenue &amp; Cost Breakdown'!I97)</f>
        <v>578812.5</v>
      </c>
      <c r="K21" s="57">
        <f t="array" ref="K21">_xlfn.IFS($D$10="Low",'2. Control Panel'!$L$15*'4.1 Revenue &amp; Cost Breakdown'!J97,'4. Financial Projection Summary'!$D$10="Moderate",'2. Control Panel'!$L$16*'4.1 Revenue &amp; Cost Breakdown'!J97,'4. Financial Projection Summary'!$D$10="High",'2. Control Panel'!$L$17*'4.1 Revenue &amp; Cost Breakdown'!J97)</f>
        <v>668528.4375</v>
      </c>
      <c r="L21" s="57">
        <f t="array" ref="L21">_xlfn.IFS($D$10="Low",'2. Control Panel'!$L$15*'4.1 Revenue &amp; Cost Breakdown'!K97,'4. Financial Projection Summary'!$D$10="Moderate",'2. Control Panel'!$L$16*'4.1 Revenue &amp; Cost Breakdown'!K97,'4. Financial Projection Summary'!$D$10="High",'2. Control Panel'!$L$17*'4.1 Revenue &amp; Cost Breakdown'!K97)</f>
        <v>772150.3453125</v>
      </c>
      <c r="M21" s="57">
        <f t="array" ref="M21">_xlfn.IFS($D$10="Low",'2. Control Panel'!$L$15*'4.1 Revenue &amp; Cost Breakdown'!L97,'4. Financial Projection Summary'!$D$10="Moderate",'2. Control Panel'!$L$16*'4.1 Revenue &amp; Cost Breakdown'!L97,'4. Financial Projection Summary'!$D$10="High",'2. Control Panel'!$L$17*'4.1 Revenue &amp; Cost Breakdown'!L97)</f>
        <v>891833.648835938</v>
      </c>
      <c r="N21" s="57">
        <f t="array" ref="N21">_xlfn.IFS($D$10="Low",'2. Control Panel'!$L$15*'4.1 Revenue &amp; Cost Breakdown'!M97,'4. Financial Projection Summary'!$D$10="Moderate",'2. Control Panel'!$L$16*'4.1 Revenue &amp; Cost Breakdown'!M97,'4. Financial Projection Summary'!$D$10="High",'2. Control Panel'!$L$17*'4.1 Revenue &amp; Cost Breakdown'!M97)</f>
        <v>1030067.86440551</v>
      </c>
    </row>
    <row r="22" s="3" customFormat="1" ht="58" customHeight="1" spans="3:14">
      <c r="C22" s="84"/>
      <c r="D22" s="25" t="s">
        <v>182</v>
      </c>
      <c r="E22" s="57">
        <f t="array" ref="E22">_xlfn.IFS($D$10="Low",'2. Control Panel'!$L$15*'4.1 Revenue &amp; Cost Breakdown'!D107,'4. Financial Projection Summary'!$D$10="Moderate",'2. Control Panel'!$L$16*'4.1 Revenue &amp; Cost Breakdown'!D107,'4. Financial Projection Summary'!$D$10="High",'2. Control Panel'!$L$17*'4.1 Revenue &amp; Cost Breakdown'!D107)</f>
        <v>0</v>
      </c>
      <c r="F22" s="57">
        <f t="array" ref="F22">_xlfn.IFS($D$10="Low",'2. Control Panel'!$L$15*'4.1 Revenue &amp; Cost Breakdown'!E107,'4. Financial Projection Summary'!$D$10="Moderate",'2. Control Panel'!$L$16*'4.1 Revenue &amp; Cost Breakdown'!E107,'4. Financial Projection Summary'!$D$10="High",'2. Control Panel'!$L$17*'4.1 Revenue &amp; Cost Breakdown'!E107)</f>
        <v>0</v>
      </c>
      <c r="G22" s="57">
        <f t="array" ref="G22">_xlfn.IFS($D$10="Low",'2. Control Panel'!$L$15*'4.1 Revenue &amp; Cost Breakdown'!F107,'4. Financial Projection Summary'!$D$10="Moderate",'2. Control Panel'!$L$16*'4.1 Revenue &amp; Cost Breakdown'!F107,'4. Financial Projection Summary'!$D$10="High",'2. Control Panel'!$L$17*'4.1 Revenue &amp; Cost Breakdown'!F107)</f>
        <v>0</v>
      </c>
      <c r="H22" s="57">
        <f t="array" ref="H22">_xlfn.IFS($D$10="Low",'2. Control Panel'!$L$15*'4.1 Revenue &amp; Cost Breakdown'!G107,'4. Financial Projection Summary'!$D$10="Moderate",'2. Control Panel'!$L$16*'4.1 Revenue &amp; Cost Breakdown'!G107,'4. Financial Projection Summary'!$D$10="High",'2. Control Panel'!$L$17*'4.1 Revenue &amp; Cost Breakdown'!G107)</f>
        <v>0</v>
      </c>
      <c r="I22" s="57">
        <f t="array" ref="I22">_xlfn.IFS($D$10="Low",'2. Control Panel'!$L$15*'4.1 Revenue &amp; Cost Breakdown'!H107,'4. Financial Projection Summary'!$D$10="Moderate",'2. Control Panel'!$L$16*'4.1 Revenue &amp; Cost Breakdown'!H107,'4. Financial Projection Summary'!$D$10="High",'2. Control Panel'!$L$17*'4.1 Revenue &amp; Cost Breakdown'!H107)</f>
        <v>0</v>
      </c>
      <c r="J22" s="57">
        <f t="array" ref="J22">_xlfn.IFS($D$10="Low",'2. Control Panel'!$L$15*'4.1 Revenue &amp; Cost Breakdown'!I107,'4. Financial Projection Summary'!$D$10="Moderate",'2. Control Panel'!$L$16*'4.1 Revenue &amp; Cost Breakdown'!I107,'4. Financial Projection Summary'!$D$10="High",'2. Control Panel'!$L$17*'4.1 Revenue &amp; Cost Breakdown'!I107)</f>
        <v>347287.5</v>
      </c>
      <c r="K22" s="57">
        <f t="array" ref="K22">_xlfn.IFS($D$10="Low",'2. Control Panel'!$L$15*'4.1 Revenue &amp; Cost Breakdown'!J107,'4. Financial Projection Summary'!$D$10="Moderate",'2. Control Panel'!$L$16*'4.1 Revenue &amp; Cost Breakdown'!J107,'4. Financial Projection Summary'!$D$10="High",'2. Control Panel'!$L$17*'4.1 Revenue &amp; Cost Breakdown'!J107)</f>
        <v>401117.0625</v>
      </c>
      <c r="L22" s="57">
        <f t="array" ref="L22">_xlfn.IFS($D$10="Low",'2. Control Panel'!$L$15*'4.1 Revenue &amp; Cost Breakdown'!K107,'4. Financial Projection Summary'!$D$10="Moderate",'2. Control Panel'!$L$16*'4.1 Revenue &amp; Cost Breakdown'!K107,'4. Financial Projection Summary'!$D$10="High",'2. Control Panel'!$L$17*'4.1 Revenue &amp; Cost Breakdown'!K107)</f>
        <v>463290.2071875</v>
      </c>
      <c r="M22" s="57">
        <f t="array" ref="M22">_xlfn.IFS($D$10="Low",'2. Control Panel'!$L$15*'4.1 Revenue &amp; Cost Breakdown'!L107,'4. Financial Projection Summary'!$D$10="Moderate",'2. Control Panel'!$L$16*'4.1 Revenue &amp; Cost Breakdown'!L107,'4. Financial Projection Summary'!$D$10="High",'2. Control Panel'!$L$17*'4.1 Revenue &amp; Cost Breakdown'!L107)</f>
        <v>535100.189301563</v>
      </c>
      <c r="N22" s="57">
        <f t="array" ref="N22">_xlfn.IFS($D$10="Low",'2. Control Panel'!$L$15*'4.1 Revenue &amp; Cost Breakdown'!M107,'4. Financial Projection Summary'!$D$10="Moderate",'2. Control Panel'!$L$16*'4.1 Revenue &amp; Cost Breakdown'!M107,'4. Financial Projection Summary'!$D$10="High",'2. Control Panel'!$L$17*'4.1 Revenue &amp; Cost Breakdown'!M107)</f>
        <v>618040.718643305</v>
      </c>
    </row>
    <row r="23" s="3" customFormat="1" ht="25" customHeight="1" spans="3:14">
      <c r="C23" s="85"/>
      <c r="D23" s="86" t="s">
        <v>291</v>
      </c>
      <c r="E23" s="96">
        <f>SUM(E20:E22)</f>
        <v>0</v>
      </c>
      <c r="F23" s="96">
        <f t="shared" ref="F23:N23" si="1">SUM(F20:F22)</f>
        <v>0</v>
      </c>
      <c r="G23" s="96">
        <f t="shared" si="1"/>
        <v>0</v>
      </c>
      <c r="H23" s="96">
        <f t="shared" si="1"/>
        <v>0</v>
      </c>
      <c r="I23" s="96">
        <f t="shared" si="1"/>
        <v>0</v>
      </c>
      <c r="J23" s="96">
        <f t="shared" si="1"/>
        <v>58807350</v>
      </c>
      <c r="K23" s="96">
        <f t="shared" si="1"/>
        <v>67922489.25</v>
      </c>
      <c r="L23" s="96">
        <f t="shared" si="1"/>
        <v>78450475.08375</v>
      </c>
      <c r="M23" s="96">
        <f t="shared" si="1"/>
        <v>90610298.7217313</v>
      </c>
      <c r="N23" s="96">
        <f t="shared" si="1"/>
        <v>104654895.0236</v>
      </c>
    </row>
    <row r="24" s="3" customFormat="1" ht="34" customHeight="1" spans="3:14">
      <c r="C24" s="89"/>
      <c r="D24" s="89" t="s">
        <v>292</v>
      </c>
      <c r="E24" s="98">
        <f>SUM(E19,E23)</f>
        <v>0</v>
      </c>
      <c r="F24" s="98">
        <f t="shared" ref="F24:N24" si="2">SUM(F19,F23)</f>
        <v>3000000</v>
      </c>
      <c r="G24" s="98">
        <f t="shared" si="2"/>
        <v>9000000</v>
      </c>
      <c r="H24" s="98">
        <f t="shared" si="2"/>
        <v>14175000</v>
      </c>
      <c r="I24" s="98">
        <f t="shared" si="2"/>
        <v>22325625</v>
      </c>
      <c r="J24" s="98">
        <f t="shared" si="2"/>
        <v>298898775</v>
      </c>
      <c r="K24" s="98">
        <f t="shared" si="2"/>
        <v>363164095.35</v>
      </c>
      <c r="L24" s="98">
        <f t="shared" si="2"/>
        <v>446485663.110375</v>
      </c>
      <c r="M24" s="98">
        <f t="shared" si="2"/>
        <v>547014979.642359</v>
      </c>
      <c r="N24" s="98">
        <f t="shared" si="2"/>
        <v>677927728.7498</v>
      </c>
    </row>
    <row r="25" spans="3:7">
      <c r="C25" s="90"/>
      <c r="D25" s="91"/>
      <c r="E25" s="99"/>
      <c r="F25" s="100"/>
      <c r="G25" s="4"/>
    </row>
    <row r="26" spans="3:7">
      <c r="C26" s="90"/>
      <c r="D26" s="91"/>
      <c r="E26" s="99"/>
      <c r="F26" s="100"/>
      <c r="G26" s="4"/>
    </row>
    <row r="28" ht="17.55" spans="4:4">
      <c r="D28" s="79" t="s">
        <v>282</v>
      </c>
    </row>
    <row r="29" ht="34.75" spans="3:4">
      <c r="C29" s="80" t="s">
        <v>293</v>
      </c>
      <c r="D29" s="81" t="s">
        <v>38</v>
      </c>
    </row>
    <row r="31" ht="23.2" spans="3:3">
      <c r="C31" s="82" t="s">
        <v>294</v>
      </c>
    </row>
    <row r="33" spans="3:14">
      <c r="C33" s="83" t="s">
        <v>285</v>
      </c>
      <c r="D33" s="83"/>
      <c r="E33" s="20">
        <v>2026</v>
      </c>
      <c r="F33" s="20">
        <v>2027</v>
      </c>
      <c r="G33" s="20">
        <v>2028</v>
      </c>
      <c r="H33" s="20">
        <v>2029</v>
      </c>
      <c r="I33" s="20">
        <v>2030</v>
      </c>
      <c r="J33" s="20">
        <v>2031</v>
      </c>
      <c r="K33" s="20">
        <v>2032</v>
      </c>
      <c r="L33" s="20">
        <v>2033</v>
      </c>
      <c r="M33" s="20">
        <v>2034</v>
      </c>
      <c r="N33" s="20">
        <v>2035</v>
      </c>
    </row>
    <row r="34" ht="37" customHeight="1" spans="3:14">
      <c r="C34" s="84" t="s">
        <v>295</v>
      </c>
      <c r="D34" s="38" t="s">
        <v>296</v>
      </c>
      <c r="E34" s="57">
        <f t="array" ref="E34">_xlfn.IFS($D$29="Low",'2. Control Panel'!$L$15*SUM('4.1 Revenue &amp; Cost Breakdown'!D120,'4.1 Revenue &amp; Cost Breakdown'!D122,'4.1 Revenue &amp; Cost Breakdown'!D124,'4.1 Revenue &amp; Cost Breakdown'!D126),'4. Financial Projection Summary'!$D$29="Moderate",'2. Control Panel'!$L$16*SUM('4.1 Revenue &amp; Cost Breakdown'!D120,'4.1 Revenue &amp; Cost Breakdown'!D122,'4.1 Revenue &amp; Cost Breakdown'!D124,'4.1 Revenue &amp; Cost Breakdown'!D126),'4. Financial Projection Summary'!$D$29="High",'2. Control Panel'!$L$17*SUM('4.1 Revenue &amp; Cost Breakdown'!D120,'4.1 Revenue &amp; Cost Breakdown'!D122,'4.1 Revenue &amp; Cost Breakdown'!D124,'4.1 Revenue &amp; Cost Breakdown'!D126))</f>
        <v>2480000</v>
      </c>
      <c r="F34" s="57">
        <f t="array" ref="F34">_xlfn.IFS($D$29="Low",'2. Control Panel'!$L$15*SUM('4.1 Revenue &amp; Cost Breakdown'!E120,'4.1 Revenue &amp; Cost Breakdown'!E122,'4.1 Revenue &amp; Cost Breakdown'!E124,'4.1 Revenue &amp; Cost Breakdown'!E126),'4. Financial Projection Summary'!$D$29="Moderate",'2. Control Panel'!$L$16*SUM('4.1 Revenue &amp; Cost Breakdown'!E120,'4.1 Revenue &amp; Cost Breakdown'!E122,'4.1 Revenue &amp; Cost Breakdown'!E124,'4.1 Revenue &amp; Cost Breakdown'!E126),'4. Financial Projection Summary'!$D$29="High",'2. Control Panel'!$L$17*SUM('4.1 Revenue &amp; Cost Breakdown'!E120,'4.1 Revenue &amp; Cost Breakdown'!E122,'4.1 Revenue &amp; Cost Breakdown'!E124,'4.1 Revenue &amp; Cost Breakdown'!E126))</f>
        <v>2613000</v>
      </c>
      <c r="G34" s="57">
        <f t="array" ref="G34">_xlfn.IFS($D$29="Low",'2. Control Panel'!$L$15*SUM('4.1 Revenue &amp; Cost Breakdown'!F120,'4.1 Revenue &amp; Cost Breakdown'!F122,'4.1 Revenue &amp; Cost Breakdown'!F124,'4.1 Revenue &amp; Cost Breakdown'!F126),'4. Financial Projection Summary'!$D$29="Moderate",'2. Control Panel'!$L$16*SUM('4.1 Revenue &amp; Cost Breakdown'!F120,'4.1 Revenue &amp; Cost Breakdown'!F122,'4.1 Revenue &amp; Cost Breakdown'!F124,'4.1 Revenue &amp; Cost Breakdown'!F126),'4. Financial Projection Summary'!$D$29="High",'2. Control Panel'!$L$17*SUM('4.1 Revenue &amp; Cost Breakdown'!F120,'4.1 Revenue &amp; Cost Breakdown'!F122,'4.1 Revenue &amp; Cost Breakdown'!F124,'4.1 Revenue &amp; Cost Breakdown'!F126))</f>
        <v>3904800</v>
      </c>
      <c r="H34" s="57">
        <f t="array" ref="H34">_xlfn.IFS($D$29="Low",'2. Control Panel'!$L$15*SUM('4.1 Revenue &amp; Cost Breakdown'!G120,'4.1 Revenue &amp; Cost Breakdown'!G122,'4.1 Revenue &amp; Cost Breakdown'!G124,'4.1 Revenue &amp; Cost Breakdown'!G126),'4. Financial Projection Summary'!$D$29="Moderate",'2. Control Panel'!$L$16*SUM('4.1 Revenue &amp; Cost Breakdown'!G120,'4.1 Revenue &amp; Cost Breakdown'!G122,'4.1 Revenue &amp; Cost Breakdown'!G124,'4.1 Revenue &amp; Cost Breakdown'!G126),'4. Financial Projection Summary'!$D$29="High",'2. Control Panel'!$L$17*SUM('4.1 Revenue &amp; Cost Breakdown'!G120,'4.1 Revenue &amp; Cost Breakdown'!G122,'4.1 Revenue &amp; Cost Breakdown'!G124,'4.1 Revenue &amp; Cost Breakdown'!G126))</f>
        <v>4168530</v>
      </c>
      <c r="I34" s="57">
        <f t="array" ref="I34">_xlfn.IFS($D$29="Low",'2. Control Panel'!$L$15*SUM('4.1 Revenue &amp; Cost Breakdown'!H120,'4.1 Revenue &amp; Cost Breakdown'!H122,'4.1 Revenue &amp; Cost Breakdown'!H124,'4.1 Revenue &amp; Cost Breakdown'!H126),'4. Financial Projection Summary'!$D$29="Moderate",'2. Control Panel'!$L$16*SUM('4.1 Revenue &amp; Cost Breakdown'!H120,'4.1 Revenue &amp; Cost Breakdown'!H122,'4.1 Revenue &amp; Cost Breakdown'!H124,'4.1 Revenue &amp; Cost Breakdown'!H126),'4. Financial Projection Summary'!$D$29="High",'2. Control Panel'!$L$17*SUM('4.1 Revenue &amp; Cost Breakdown'!H120,'4.1 Revenue &amp; Cost Breakdown'!H122,'4.1 Revenue &amp; Cost Breakdown'!H124,'4.1 Revenue &amp; Cost Breakdown'!H126))</f>
        <v>6349896</v>
      </c>
      <c r="J34" s="57">
        <f t="array" ref="J34">_xlfn.IFS($D$29="Low",'2. Control Panel'!$L$15*SUM('4.1 Revenue &amp; Cost Breakdown'!I120,'4.1 Revenue &amp; Cost Breakdown'!I122,'4.1 Revenue &amp; Cost Breakdown'!I124,'4.1 Revenue &amp; Cost Breakdown'!I126),'4. Financial Projection Summary'!$D$29="Moderate",'2. Control Panel'!$L$16*SUM('4.1 Revenue &amp; Cost Breakdown'!I120,'4.1 Revenue &amp; Cost Breakdown'!I122,'4.1 Revenue &amp; Cost Breakdown'!I124,'4.1 Revenue &amp; Cost Breakdown'!I126),'4. Financial Projection Summary'!$D$29="High",'2. Control Panel'!$L$17*SUM('4.1 Revenue &amp; Cost Breakdown'!I120,'4.1 Revenue &amp; Cost Breakdown'!I122,'4.1 Revenue &amp; Cost Breakdown'!I124,'4.1 Revenue &amp; Cost Breakdown'!I126))</f>
        <v>6749321.94</v>
      </c>
      <c r="K34" s="57">
        <f t="array" ref="K34">_xlfn.IFS($D$29="Low",'2. Control Panel'!$L$15*SUM('4.1 Revenue &amp; Cost Breakdown'!J120,'4.1 Revenue &amp; Cost Breakdown'!J122,'4.1 Revenue &amp; Cost Breakdown'!J124,'4.1 Revenue &amp; Cost Breakdown'!J126),'4. Financial Projection Summary'!$D$29="Moderate",'2. Control Panel'!$L$16*SUM('4.1 Revenue &amp; Cost Breakdown'!J120,'4.1 Revenue &amp; Cost Breakdown'!J122,'4.1 Revenue &amp; Cost Breakdown'!J124,'4.1 Revenue &amp; Cost Breakdown'!J126),'4. Financial Projection Summary'!$D$29="High",'2. Control Panel'!$L$17*SUM('4.1 Revenue &amp; Cost Breakdown'!J120,'4.1 Revenue &amp; Cost Breakdown'!J122,'4.1 Revenue &amp; Cost Breakdown'!J124,'4.1 Revenue &amp; Cost Breakdown'!J126))</f>
        <v>7176408.4062</v>
      </c>
      <c r="L34" s="57">
        <f t="array" ref="L34">_xlfn.IFS($D$29="Low",'2. Control Panel'!$L$15*SUM('4.1 Revenue &amp; Cost Breakdown'!K120,'4.1 Revenue &amp; Cost Breakdown'!K122,'4.1 Revenue &amp; Cost Breakdown'!K124,'4.1 Revenue &amp; Cost Breakdown'!K126),'4. Financial Projection Summary'!$D$29="Moderate",'2. Control Panel'!$L$16*SUM('4.1 Revenue &amp; Cost Breakdown'!K120,'4.1 Revenue &amp; Cost Breakdown'!K122,'4.1 Revenue &amp; Cost Breakdown'!K124,'4.1 Revenue &amp; Cost Breakdown'!K126),'4. Financial Projection Summary'!$D$29="High",'2. Control Panel'!$L$17*SUM('4.1 Revenue &amp; Cost Breakdown'!K120,'4.1 Revenue &amp; Cost Breakdown'!K122,'4.1 Revenue &amp; Cost Breakdown'!K124,'4.1 Revenue &amp; Cost Breakdown'!K126))</f>
        <v>7633267.037046</v>
      </c>
      <c r="M34" s="57">
        <f t="array" ref="M34">_xlfn.IFS($D$29="Low",'2. Control Panel'!$L$15*SUM('4.1 Revenue &amp; Cost Breakdown'!L120,'4.1 Revenue &amp; Cost Breakdown'!L122,'4.1 Revenue &amp; Cost Breakdown'!L124,'4.1 Revenue &amp; Cost Breakdown'!L126),'4. Financial Projection Summary'!$D$29="Moderate",'2. Control Panel'!$L$16*SUM('4.1 Revenue &amp; Cost Breakdown'!L120,'4.1 Revenue &amp; Cost Breakdown'!L122,'4.1 Revenue &amp; Cost Breakdown'!L124,'4.1 Revenue &amp; Cost Breakdown'!L126),'4. Financial Projection Summary'!$D$29="High",'2. Control Panel'!$L$17*SUM('4.1 Revenue &amp; Cost Breakdown'!L120,'4.1 Revenue &amp; Cost Breakdown'!L122,'4.1 Revenue &amp; Cost Breakdown'!L124,'4.1 Revenue &amp; Cost Breakdown'!L126))</f>
        <v>8122184.68925718</v>
      </c>
      <c r="N34" s="57">
        <f t="array" ref="N34">_xlfn.IFS($D$29="Low",'2. Control Panel'!$L$15*SUM('4.1 Revenue &amp; Cost Breakdown'!M120,'4.1 Revenue &amp; Cost Breakdown'!M122,'4.1 Revenue &amp; Cost Breakdown'!M124,'4.1 Revenue &amp; Cost Breakdown'!M126),'4. Financial Projection Summary'!$D$29="Moderate",'2. Control Panel'!$L$16*SUM('4.1 Revenue &amp; Cost Breakdown'!M120,'4.1 Revenue &amp; Cost Breakdown'!M122,'4.1 Revenue &amp; Cost Breakdown'!M124,'4.1 Revenue &amp; Cost Breakdown'!M126),'4. Financial Projection Summary'!$D$29="High",'2. Control Panel'!$L$17*SUM('4.1 Revenue &amp; Cost Breakdown'!M120,'4.1 Revenue &amp; Cost Breakdown'!M122,'4.1 Revenue &amp; Cost Breakdown'!M124,'4.1 Revenue &amp; Cost Breakdown'!M126))</f>
        <v>8645638.90438563</v>
      </c>
    </row>
    <row r="35" ht="37" customHeight="1" spans="3:14">
      <c r="C35" s="84"/>
      <c r="D35" s="38" t="s">
        <v>297</v>
      </c>
      <c r="E35" s="57">
        <f t="array" ref="E35">_xlfn.IFS($D$29="Low",'2. Control Panel'!$L$15*SUM('4.1 Revenue &amp; Cost Breakdown'!D128,'4.1 Revenue &amp; Cost Breakdown'!D134),'4. Financial Projection Summary'!$D$29="Moderate",'2. Control Panel'!$L$16*SUM('4.1 Revenue &amp; Cost Breakdown'!D128,'4.1 Revenue &amp; Cost Breakdown'!D134),'4. Financial Projection Summary'!$D$29="High",'2. Control Panel'!$L$17*SUM('4.1 Revenue &amp; Cost Breakdown'!D128,'4.1 Revenue &amp; Cost Breakdown'!D134))</f>
        <v>25000</v>
      </c>
      <c r="F35" s="57">
        <f t="array" ref="F35">_xlfn.IFS($D$29="Low",'2. Control Panel'!$L$15*SUM('4.1 Revenue &amp; Cost Breakdown'!E128,'4.1 Revenue &amp; Cost Breakdown'!E134),'4. Financial Projection Summary'!$D$29="Moderate",'2. Control Panel'!$L$16*SUM('4.1 Revenue &amp; Cost Breakdown'!E128,'4.1 Revenue &amp; Cost Breakdown'!E134),'4. Financial Projection Summary'!$D$29="High",'2. Control Panel'!$L$17*SUM('4.1 Revenue &amp; Cost Breakdown'!E128,'4.1 Revenue &amp; Cost Breakdown'!E134))</f>
        <v>27500</v>
      </c>
      <c r="G35" s="57">
        <f t="array" ref="G35">_xlfn.IFS($D$29="Low",'2. Control Panel'!$L$15*SUM('4.1 Revenue &amp; Cost Breakdown'!F128,'4.1 Revenue &amp; Cost Breakdown'!F134),'4. Financial Projection Summary'!$D$29="Moderate",'2. Control Panel'!$L$16*SUM('4.1 Revenue &amp; Cost Breakdown'!F128,'4.1 Revenue &amp; Cost Breakdown'!F134),'4. Financial Projection Summary'!$D$29="High",'2. Control Panel'!$L$17*SUM('4.1 Revenue &amp; Cost Breakdown'!F128,'4.1 Revenue &amp; Cost Breakdown'!F134))</f>
        <v>55250</v>
      </c>
      <c r="H35" s="57">
        <f t="array" ref="H35">_xlfn.IFS($D$29="Low",'2. Control Panel'!$L$15*SUM('4.1 Revenue &amp; Cost Breakdown'!G128,'4.1 Revenue &amp; Cost Breakdown'!G134),'4. Financial Projection Summary'!$D$29="Moderate",'2. Control Panel'!$L$16*SUM('4.1 Revenue &amp; Cost Breakdown'!G128,'4.1 Revenue &amp; Cost Breakdown'!G134),'4. Financial Projection Summary'!$D$29="High",'2. Control Panel'!$L$17*SUM('4.1 Revenue &amp; Cost Breakdown'!G128,'4.1 Revenue &amp; Cost Breakdown'!G134))</f>
        <v>62025</v>
      </c>
      <c r="I35" s="57">
        <f t="array" ref="I35">_xlfn.IFS($D$29="Low",'2. Control Panel'!$L$15*SUM('4.1 Revenue &amp; Cost Breakdown'!H128,'4.1 Revenue &amp; Cost Breakdown'!H134),'4. Financial Projection Summary'!$D$29="Moderate",'2. Control Panel'!$L$16*SUM('4.1 Revenue &amp; Cost Breakdown'!H128,'4.1 Revenue &amp; Cost Breakdown'!H134),'4. Financial Projection Summary'!$D$29="High",'2. Control Panel'!$L$17*SUM('4.1 Revenue &amp; Cost Breakdown'!H128,'4.1 Revenue &amp; Cost Breakdown'!H134))</f>
        <v>69665</v>
      </c>
      <c r="J35" s="57">
        <f t="array" ref="J35">_xlfn.IFS($D$29="Low",'2. Control Panel'!$L$15*SUM('4.1 Revenue &amp; Cost Breakdown'!I128,'4.1 Revenue &amp; Cost Breakdown'!I134),'4. Financial Projection Summary'!$D$29="Moderate",'2. Control Panel'!$L$16*SUM('4.1 Revenue &amp; Cost Breakdown'!I128,'4.1 Revenue &amp; Cost Breakdown'!I134),'4. Financial Projection Summary'!$D$29="High",'2. Control Panel'!$L$17*SUM('4.1 Revenue &amp; Cost Breakdown'!I128,'4.1 Revenue &amp; Cost Breakdown'!I134))</f>
        <v>78284.625</v>
      </c>
      <c r="K35" s="57">
        <f t="array" ref="K35">_xlfn.IFS($D$29="Low",'2. Control Panel'!$L$15*SUM('4.1 Revenue &amp; Cost Breakdown'!J128,'4.1 Revenue &amp; Cost Breakdown'!J134),'4. Financial Projection Summary'!$D$29="Moderate",'2. Control Panel'!$L$16*SUM('4.1 Revenue &amp; Cost Breakdown'!J128,'4.1 Revenue &amp; Cost Breakdown'!J134),'4. Financial Projection Summary'!$D$29="High",'2. Control Panel'!$L$17*SUM('4.1 Revenue &amp; Cost Breakdown'!J128,'4.1 Revenue &amp; Cost Breakdown'!J134))</f>
        <v>88014.18125</v>
      </c>
      <c r="L35" s="57">
        <f t="array" ref="L35">_xlfn.IFS($D$29="Low",'2. Control Panel'!$L$15*SUM('4.1 Revenue &amp; Cost Breakdown'!K128,'4.1 Revenue &amp; Cost Breakdown'!K134),'4. Financial Projection Summary'!$D$29="Moderate",'2. Control Panel'!$L$16*SUM('4.1 Revenue &amp; Cost Breakdown'!K128,'4.1 Revenue &amp; Cost Breakdown'!K134),'4. Financial Projection Summary'!$D$29="High",'2. Control Panel'!$L$17*SUM('4.1 Revenue &amp; Cost Breakdown'!K128,'4.1 Revenue &amp; Cost Breakdown'!K134))</f>
        <v>99001.8571875</v>
      </c>
      <c r="M35" s="57">
        <f t="array" ref="M35">_xlfn.IFS($D$29="Low",'2. Control Panel'!$L$15*SUM('4.1 Revenue &amp; Cost Breakdown'!L128,'4.1 Revenue &amp; Cost Breakdown'!L134),'4. Financial Projection Summary'!$D$29="Moderate",'2. Control Panel'!$L$16*SUM('4.1 Revenue &amp; Cost Breakdown'!L128,'4.1 Revenue &amp; Cost Breakdown'!L134),'4. Financial Projection Summary'!$D$29="High",'2. Control Panel'!$L$17*SUM('4.1 Revenue &amp; Cost Breakdown'!L128,'4.1 Revenue &amp; Cost Breakdown'!L134))</f>
        <v>111416.239390625</v>
      </c>
      <c r="N35" s="57">
        <f t="array" ref="N35">_xlfn.IFS($D$29="Low",'2. Control Panel'!$L$15*SUM('4.1 Revenue &amp; Cost Breakdown'!M128,'4.1 Revenue &amp; Cost Breakdown'!M134),'4. Financial Projection Summary'!$D$29="Moderate",'2. Control Panel'!$L$16*SUM('4.1 Revenue &amp; Cost Breakdown'!M128,'4.1 Revenue &amp; Cost Breakdown'!M134),'4. Financial Projection Summary'!$D$29="High",'2. Control Panel'!$L$17*SUM('4.1 Revenue &amp; Cost Breakdown'!M128,'4.1 Revenue &amp; Cost Breakdown'!M134))</f>
        <v>125449.189286719</v>
      </c>
    </row>
    <row r="36" ht="37" customHeight="1" spans="3:14">
      <c r="C36" s="84"/>
      <c r="D36" s="38" t="s">
        <v>298</v>
      </c>
      <c r="E36" s="57">
        <f t="array" ref="E36">_xlfn.IFS($D$29="Low",'2. Control Panel'!$L$15*'4.1 Revenue &amp; Cost Breakdown'!D130,'4. Financial Projection Summary'!$D$29="Moderate",'2. Control Panel'!$L$16*'4.1 Revenue &amp; Cost Breakdown'!D130,'4. Financial Projection Summary'!$D$29="High",'2. Control Panel'!$L$17*'4.1 Revenue &amp; Cost Breakdown'!D130)</f>
        <v>100000</v>
      </c>
      <c r="F36" s="57">
        <f t="array" ref="F36">_xlfn.IFS($D$29="Low",'2. Control Panel'!$L$15*'4.1 Revenue &amp; Cost Breakdown'!E130,'4. Financial Projection Summary'!$D$29="Moderate",'2. Control Panel'!$L$16*'4.1 Revenue &amp; Cost Breakdown'!E130,'4. Financial Projection Summary'!$D$29="High",'2. Control Panel'!$L$17*'4.1 Revenue &amp; Cost Breakdown'!E130)</f>
        <v>110000</v>
      </c>
      <c r="G36" s="57">
        <f t="array" ref="G36">_xlfn.IFS($D$29="Low",'2. Control Panel'!$L$15*'4.1 Revenue &amp; Cost Breakdown'!F130,'4. Financial Projection Summary'!$D$29="Moderate",'2. Control Panel'!$L$16*'4.1 Revenue &amp; Cost Breakdown'!F130,'4. Financial Projection Summary'!$D$29="High",'2. Control Panel'!$L$17*'4.1 Revenue &amp; Cost Breakdown'!F130)</f>
        <v>121000</v>
      </c>
      <c r="H36" s="57">
        <f t="array" ref="H36">_xlfn.IFS($D$29="Low",'2. Control Panel'!$L$15*'4.1 Revenue &amp; Cost Breakdown'!G130,'4. Financial Projection Summary'!$D$29="Moderate",'2. Control Panel'!$L$16*'4.1 Revenue &amp; Cost Breakdown'!G130,'4. Financial Projection Summary'!$D$29="High",'2. Control Panel'!$L$17*'4.1 Revenue &amp; Cost Breakdown'!G130)</f>
        <v>133100</v>
      </c>
      <c r="I36" s="57">
        <f t="array" ref="I36">_xlfn.IFS($D$29="Low",'2. Control Panel'!$L$15*'4.1 Revenue &amp; Cost Breakdown'!H130,'4. Financial Projection Summary'!$D$29="Moderate",'2. Control Panel'!$L$16*'4.1 Revenue &amp; Cost Breakdown'!H130,'4. Financial Projection Summary'!$D$29="High",'2. Control Panel'!$L$17*'4.1 Revenue &amp; Cost Breakdown'!H130)</f>
        <v>146410</v>
      </c>
      <c r="J36" s="57">
        <f t="array" ref="J36">_xlfn.IFS($D$29="Low",'2. Control Panel'!$L$15*'4.1 Revenue &amp; Cost Breakdown'!I130,'4. Financial Projection Summary'!$D$29="Moderate",'2. Control Panel'!$L$16*'4.1 Revenue &amp; Cost Breakdown'!I130,'4. Financial Projection Summary'!$D$29="High",'2. Control Panel'!$L$17*'4.1 Revenue &amp; Cost Breakdown'!I130)</f>
        <v>161051</v>
      </c>
      <c r="K36" s="57">
        <f t="array" ref="K36">_xlfn.IFS($D$29="Low",'2. Control Panel'!$L$15*'4.1 Revenue &amp; Cost Breakdown'!J130,'4. Financial Projection Summary'!$D$29="Moderate",'2. Control Panel'!$L$16*'4.1 Revenue &amp; Cost Breakdown'!J130,'4. Financial Projection Summary'!$D$29="High",'2. Control Panel'!$L$17*'4.1 Revenue &amp; Cost Breakdown'!J130)</f>
        <v>177156.1</v>
      </c>
      <c r="L36" s="57">
        <f t="array" ref="L36">_xlfn.IFS($D$29="Low",'2. Control Panel'!$L$15*'4.1 Revenue &amp; Cost Breakdown'!K130,'4. Financial Projection Summary'!$D$29="Moderate",'2. Control Panel'!$L$16*'4.1 Revenue &amp; Cost Breakdown'!K130,'4. Financial Projection Summary'!$D$29="High",'2. Control Panel'!$L$17*'4.1 Revenue &amp; Cost Breakdown'!K130)</f>
        <v>194871.71</v>
      </c>
      <c r="M36" s="57">
        <f t="array" ref="M36">_xlfn.IFS($D$29="Low",'2. Control Panel'!$L$15*'4.1 Revenue &amp; Cost Breakdown'!L130,'4. Financial Projection Summary'!$D$29="Moderate",'2. Control Panel'!$L$16*'4.1 Revenue &amp; Cost Breakdown'!L130,'4. Financial Projection Summary'!$D$29="High",'2. Control Panel'!$L$17*'4.1 Revenue &amp; Cost Breakdown'!L130)</f>
        <v>214358.881</v>
      </c>
      <c r="N36" s="57">
        <f t="array" ref="N36">_xlfn.IFS($D$29="Low",'2. Control Panel'!$L$15*'4.1 Revenue &amp; Cost Breakdown'!M130,'4. Financial Projection Summary'!$D$29="Moderate",'2. Control Panel'!$L$16*'4.1 Revenue &amp; Cost Breakdown'!M130,'4. Financial Projection Summary'!$D$29="High",'2. Control Panel'!$L$17*'4.1 Revenue &amp; Cost Breakdown'!M130)</f>
        <v>235794.7691</v>
      </c>
    </row>
    <row r="37" ht="37" customHeight="1" spans="3:14">
      <c r="C37" s="84"/>
      <c r="D37" s="38" t="s">
        <v>299</v>
      </c>
      <c r="E37" s="57">
        <f t="array" ref="E37">_xlfn.IFS($D$29="Low",'2. Control Panel'!$L$15*'4.1 Revenue &amp; Cost Breakdown'!D132,'4. Financial Projection Summary'!$D$29="Moderate",'2. Control Panel'!$L$16*'4.1 Revenue &amp; Cost Breakdown'!D132,'4. Financial Projection Summary'!$D$29="High",'2. Control Panel'!$L$17*'4.1 Revenue &amp; Cost Breakdown'!D132)</f>
        <v>50000</v>
      </c>
      <c r="F37" s="57">
        <f t="array" ref="F37">_xlfn.IFS($D$29="Low",'2. Control Panel'!$L$15*'4.1 Revenue &amp; Cost Breakdown'!E132,'4. Financial Projection Summary'!$D$29="Moderate",'2. Control Panel'!$L$16*'4.1 Revenue &amp; Cost Breakdown'!E132,'4. Financial Projection Summary'!$D$29="High",'2. Control Panel'!$L$17*'4.1 Revenue &amp; Cost Breakdown'!E132)</f>
        <v>56000</v>
      </c>
      <c r="G37" s="57">
        <f t="array" ref="G37">_xlfn.IFS($D$29="Low",'2. Control Panel'!$L$15*'4.1 Revenue &amp; Cost Breakdown'!F132,'4. Financial Projection Summary'!$D$29="Moderate",'2. Control Panel'!$L$16*'4.1 Revenue &amp; Cost Breakdown'!F132,'4. Financial Projection Summary'!$D$29="High",'2. Control Panel'!$L$17*'4.1 Revenue &amp; Cost Breakdown'!F132)</f>
        <v>62720</v>
      </c>
      <c r="H37" s="57">
        <f t="array" ref="H37">_xlfn.IFS($D$29="Low",'2. Control Panel'!$L$15*'4.1 Revenue &amp; Cost Breakdown'!G132,'4. Financial Projection Summary'!$D$29="Moderate",'2. Control Panel'!$L$16*'4.1 Revenue &amp; Cost Breakdown'!G132,'4. Financial Projection Summary'!$D$29="High",'2. Control Panel'!$L$17*'4.1 Revenue &amp; Cost Breakdown'!G132)</f>
        <v>70246.4</v>
      </c>
      <c r="I37" s="57">
        <f t="array" ref="I37">_xlfn.IFS($D$29="Low",'2. Control Panel'!$L$15*'4.1 Revenue &amp; Cost Breakdown'!H132,'4. Financial Projection Summary'!$D$29="Moderate",'2. Control Panel'!$L$16*'4.1 Revenue &amp; Cost Breakdown'!H132,'4. Financial Projection Summary'!$D$29="High",'2. Control Panel'!$L$17*'4.1 Revenue &amp; Cost Breakdown'!H132)</f>
        <v>78675.968</v>
      </c>
      <c r="J37" s="57">
        <f t="array" ref="J37">_xlfn.IFS($D$29="Low",'2. Control Panel'!$L$15*'4.1 Revenue &amp; Cost Breakdown'!I132,'4. Financial Projection Summary'!$D$29="Moderate",'2. Control Panel'!$L$16*'4.1 Revenue &amp; Cost Breakdown'!I132,'4. Financial Projection Summary'!$D$29="High",'2. Control Panel'!$L$17*'4.1 Revenue &amp; Cost Breakdown'!I132)</f>
        <v>88117.0841600001</v>
      </c>
      <c r="K37" s="57">
        <f t="array" ref="K37">_xlfn.IFS($D$29="Low",'2. Control Panel'!$L$15*'4.1 Revenue &amp; Cost Breakdown'!J132,'4. Financial Projection Summary'!$D$29="Moderate",'2. Control Panel'!$L$16*'4.1 Revenue &amp; Cost Breakdown'!J132,'4. Financial Projection Summary'!$D$29="High",'2. Control Panel'!$L$17*'4.1 Revenue &amp; Cost Breakdown'!J132)</f>
        <v>98691.1342592001</v>
      </c>
      <c r="L37" s="57">
        <f t="array" ref="L37">_xlfn.IFS($D$29="Low",'2. Control Panel'!$L$15*'4.1 Revenue &amp; Cost Breakdown'!K132,'4. Financial Projection Summary'!$D$29="Moderate",'2. Control Panel'!$L$16*'4.1 Revenue &amp; Cost Breakdown'!K132,'4. Financial Projection Summary'!$D$29="High",'2. Control Panel'!$L$17*'4.1 Revenue &amp; Cost Breakdown'!K132)</f>
        <v>110534.070370304</v>
      </c>
      <c r="M37" s="57">
        <f t="array" ref="M37">_xlfn.IFS($D$29="Low",'2. Control Panel'!$L$15*'4.1 Revenue &amp; Cost Breakdown'!L132,'4. Financial Projection Summary'!$D$29="Moderate",'2. Control Panel'!$L$16*'4.1 Revenue &amp; Cost Breakdown'!L132,'4. Financial Projection Summary'!$D$29="High",'2. Control Panel'!$L$17*'4.1 Revenue &amp; Cost Breakdown'!L132)</f>
        <v>123798.158814741</v>
      </c>
      <c r="N37" s="57">
        <f t="array" ref="N37">_xlfn.IFS($D$29="Low",'2. Control Panel'!$L$15*'4.1 Revenue &amp; Cost Breakdown'!M132,'4. Financial Projection Summary'!$D$29="Moderate",'2. Control Panel'!$L$16*'4.1 Revenue &amp; Cost Breakdown'!M132,'4. Financial Projection Summary'!$D$29="High",'2. Control Panel'!$L$17*'4.1 Revenue &amp; Cost Breakdown'!M132)</f>
        <v>138653.937872509</v>
      </c>
    </row>
    <row r="38" ht="37" customHeight="1" spans="3:14">
      <c r="C38" s="85"/>
      <c r="D38" s="86" t="s">
        <v>300</v>
      </c>
      <c r="E38" s="101">
        <f>SUM(E34:E37)</f>
        <v>2655000</v>
      </c>
      <c r="F38" s="101">
        <f t="shared" ref="F38:N38" si="3">SUM(F34:F37)</f>
        <v>2806500</v>
      </c>
      <c r="G38" s="101">
        <f t="shared" si="3"/>
        <v>4143770</v>
      </c>
      <c r="H38" s="101">
        <f t="shared" si="3"/>
        <v>4433901.4</v>
      </c>
      <c r="I38" s="101">
        <f t="shared" si="3"/>
        <v>6644646.968</v>
      </c>
      <c r="J38" s="101">
        <f t="shared" si="3"/>
        <v>7076774.64916</v>
      </c>
      <c r="K38" s="101">
        <f t="shared" si="3"/>
        <v>7540269.8217092</v>
      </c>
      <c r="L38" s="101">
        <f t="shared" si="3"/>
        <v>8037674.67460381</v>
      </c>
      <c r="M38" s="101">
        <f t="shared" si="3"/>
        <v>8571757.96846255</v>
      </c>
      <c r="N38" s="101">
        <f t="shared" si="3"/>
        <v>9145536.80064486</v>
      </c>
    </row>
    <row r="39" ht="37" customHeight="1" spans="3:14">
      <c r="C39" s="87" t="s">
        <v>301</v>
      </c>
      <c r="D39" s="92" t="s">
        <v>302</v>
      </c>
      <c r="E39" s="57">
        <f t="array" ref="E39">_xlfn.IFS($D$29="Low",'2. Control Panel'!$L$15*'4.1 Revenue &amp; Cost Breakdown'!D136,'4. Financial Projection Summary'!$D$29="Moderate",'2. Control Panel'!$L$16*'4.1 Revenue &amp; Cost Breakdown'!D136,'4. Financial Projection Summary'!$D$29="High",'2. Control Panel'!$L$17*'4.1 Revenue &amp; Cost Breakdown'!D136)</f>
        <v>0</v>
      </c>
      <c r="F39" s="57">
        <f t="array" ref="F39">_xlfn.IFS($D$29="Low",'2. Control Panel'!$L$15*'4.1 Revenue &amp; Cost Breakdown'!E136,'4. Financial Projection Summary'!$D$29="Moderate",'2. Control Panel'!$L$16*'4.1 Revenue &amp; Cost Breakdown'!E136,'4. Financial Projection Summary'!$D$29="High",'2. Control Panel'!$L$17*'4.1 Revenue &amp; Cost Breakdown'!E136)</f>
        <v>0</v>
      </c>
      <c r="G39" s="57">
        <f t="array" ref="G39">_xlfn.IFS($D$29="Low",'2. Control Panel'!$L$15*'4.1 Revenue &amp; Cost Breakdown'!F136,'4. Financial Projection Summary'!$D$29="Moderate",'2. Control Panel'!$L$16*'4.1 Revenue &amp; Cost Breakdown'!F136,'4. Financial Projection Summary'!$D$29="High",'2. Control Panel'!$L$17*'4.1 Revenue &amp; Cost Breakdown'!F136)</f>
        <v>0</v>
      </c>
      <c r="H39" s="57">
        <f t="array" ref="H39">_xlfn.IFS($D$29="Low",'2. Control Panel'!$L$15*'4.1 Revenue &amp; Cost Breakdown'!G136,'4. Financial Projection Summary'!$D$29="Moderate",'2. Control Panel'!$L$16*'4.1 Revenue &amp; Cost Breakdown'!G136,'4. Financial Projection Summary'!$D$29="High",'2. Control Panel'!$L$17*'4.1 Revenue &amp; Cost Breakdown'!G136)</f>
        <v>0</v>
      </c>
      <c r="I39" s="57">
        <f t="array" ref="I39">_xlfn.IFS($D$29="Low",'2. Control Panel'!$L$15*'4.1 Revenue &amp; Cost Breakdown'!H136,'4. Financial Projection Summary'!$D$29="Moderate",'2. Control Panel'!$L$16*'4.1 Revenue &amp; Cost Breakdown'!H136,'4. Financial Projection Summary'!$D$29="High",'2. Control Panel'!$L$17*'4.1 Revenue &amp; Cost Breakdown'!H136)</f>
        <v>0</v>
      </c>
      <c r="J39" s="57">
        <f t="array" ref="J39">_xlfn.IFS($D$29="Low",'2. Control Panel'!$L$15*'4.1 Revenue &amp; Cost Breakdown'!I136,'4. Financial Projection Summary'!$D$29="Moderate",'2. Control Panel'!$L$16*'4.1 Revenue &amp; Cost Breakdown'!I136,'4. Financial Projection Summary'!$D$29="High",'2. Control Panel'!$L$17*'4.1 Revenue &amp; Cost Breakdown'!I136)</f>
        <v>0</v>
      </c>
      <c r="K39" s="57">
        <f t="array" ref="K39">_xlfn.IFS($D$29="Low",'2. Control Panel'!$L$15*'4.1 Revenue &amp; Cost Breakdown'!J136,'4. Financial Projection Summary'!$D$29="Moderate",'2. Control Panel'!$L$16*'4.1 Revenue &amp; Cost Breakdown'!J136,'4. Financial Projection Summary'!$D$29="High",'2. Control Panel'!$L$17*'4.1 Revenue &amp; Cost Breakdown'!J136)</f>
        <v>0</v>
      </c>
      <c r="L39" s="57">
        <f t="array" ref="L39">_xlfn.IFS($D$29="Low",'2. Control Panel'!$L$15*'4.1 Revenue &amp; Cost Breakdown'!K136,'4. Financial Projection Summary'!$D$29="Moderate",'2. Control Panel'!$L$16*'4.1 Revenue &amp; Cost Breakdown'!K136,'4. Financial Projection Summary'!$D$29="High",'2. Control Panel'!$L$17*'4.1 Revenue &amp; Cost Breakdown'!K136)</f>
        <v>500000</v>
      </c>
      <c r="M39" s="57">
        <f t="array" ref="M39">_xlfn.IFS($D$29="Low",'2. Control Panel'!$L$15*'4.1 Revenue &amp; Cost Breakdown'!L136,'4. Financial Projection Summary'!$D$29="Moderate",'2. Control Panel'!$L$16*'4.1 Revenue &amp; Cost Breakdown'!L136,'4. Financial Projection Summary'!$D$29="High",'2. Control Panel'!$L$17*'4.1 Revenue &amp; Cost Breakdown'!L136)</f>
        <v>500000</v>
      </c>
      <c r="N39" s="57">
        <f t="array" ref="N39">_xlfn.IFS($D$29="Low",'2. Control Panel'!$L$15*'4.1 Revenue &amp; Cost Breakdown'!M136,'4. Financial Projection Summary'!$D$29="Moderate",'2. Control Panel'!$L$16*'4.1 Revenue &amp; Cost Breakdown'!M136,'4. Financial Projection Summary'!$D$29="High",'2. Control Panel'!$L$17*'4.1 Revenue &amp; Cost Breakdown'!M136)</f>
        <v>500000</v>
      </c>
    </row>
    <row r="40" ht="37" customHeight="1" spans="3:14">
      <c r="C40" s="85"/>
      <c r="D40" s="86" t="s">
        <v>303</v>
      </c>
      <c r="E40" s="101">
        <f>SUM(E39)</f>
        <v>0</v>
      </c>
      <c r="F40" s="101">
        <f t="shared" ref="F40:N40" si="4">SUM(F39)</f>
        <v>0</v>
      </c>
      <c r="G40" s="101">
        <f t="shared" si="4"/>
        <v>0</v>
      </c>
      <c r="H40" s="101">
        <f t="shared" si="4"/>
        <v>0</v>
      </c>
      <c r="I40" s="101">
        <f t="shared" si="4"/>
        <v>0</v>
      </c>
      <c r="J40" s="101">
        <f t="shared" si="4"/>
        <v>0</v>
      </c>
      <c r="K40" s="101">
        <f t="shared" si="4"/>
        <v>0</v>
      </c>
      <c r="L40" s="101">
        <f t="shared" si="4"/>
        <v>500000</v>
      </c>
      <c r="M40" s="101">
        <f t="shared" si="4"/>
        <v>500000</v>
      </c>
      <c r="N40" s="101">
        <f t="shared" si="4"/>
        <v>500000</v>
      </c>
    </row>
    <row r="41" ht="37" customHeight="1" spans="3:15">
      <c r="C41" s="93"/>
      <c r="D41" s="94" t="s">
        <v>244</v>
      </c>
      <c r="E41" s="102">
        <f>SUM(E38,E40)</f>
        <v>2655000</v>
      </c>
      <c r="F41" s="102">
        <f t="shared" ref="F41:N41" si="5">SUM(F38,F40)</f>
        <v>2806500</v>
      </c>
      <c r="G41" s="103">
        <f t="shared" si="5"/>
        <v>4143770</v>
      </c>
      <c r="H41" s="103">
        <f t="shared" si="5"/>
        <v>4433901.4</v>
      </c>
      <c r="I41" s="103">
        <f t="shared" si="5"/>
        <v>6644646.968</v>
      </c>
      <c r="J41" s="103">
        <f t="shared" si="5"/>
        <v>7076774.64916</v>
      </c>
      <c r="K41" s="103">
        <f t="shared" si="5"/>
        <v>7540269.8217092</v>
      </c>
      <c r="L41" s="103">
        <f t="shared" si="5"/>
        <v>8537674.67460381</v>
      </c>
      <c r="M41" s="103">
        <f t="shared" si="5"/>
        <v>9071757.96846255</v>
      </c>
      <c r="N41" s="103">
        <f t="shared" si="5"/>
        <v>9645536.80064486</v>
      </c>
      <c r="O41" s="106" t="s">
        <v>304</v>
      </c>
    </row>
    <row r="45" ht="23.2" spans="3:3">
      <c r="C45" s="82" t="s">
        <v>305</v>
      </c>
    </row>
    <row r="47" spans="3:14">
      <c r="C47" s="83" t="s">
        <v>285</v>
      </c>
      <c r="D47" s="83"/>
      <c r="E47" s="20">
        <v>2026</v>
      </c>
      <c r="F47" s="20">
        <v>2027</v>
      </c>
      <c r="G47" s="20">
        <v>2028</v>
      </c>
      <c r="H47" s="20">
        <v>2029</v>
      </c>
      <c r="I47" s="20">
        <v>2030</v>
      </c>
      <c r="J47" s="20">
        <v>2031</v>
      </c>
      <c r="K47" s="20">
        <v>2032</v>
      </c>
      <c r="L47" s="20">
        <v>2033</v>
      </c>
      <c r="M47" s="20">
        <v>2034</v>
      </c>
      <c r="N47" s="20">
        <v>2035</v>
      </c>
    </row>
    <row r="48" ht="31" customHeight="1" spans="3:14">
      <c r="C48" s="38" t="s">
        <v>306</v>
      </c>
      <c r="D48" s="38"/>
      <c r="E48" s="57">
        <f>E24</f>
        <v>0</v>
      </c>
      <c r="F48" s="57">
        <f t="shared" ref="F48:N48" si="6">F24</f>
        <v>3000000</v>
      </c>
      <c r="G48" s="57">
        <f t="shared" si="6"/>
        <v>9000000</v>
      </c>
      <c r="H48" s="57">
        <f t="shared" si="6"/>
        <v>14175000</v>
      </c>
      <c r="I48" s="57">
        <f t="shared" si="6"/>
        <v>22325625</v>
      </c>
      <c r="J48" s="57">
        <f t="shared" si="6"/>
        <v>298898775</v>
      </c>
      <c r="K48" s="57">
        <f t="shared" si="6"/>
        <v>363164095.35</v>
      </c>
      <c r="L48" s="57">
        <f t="shared" si="6"/>
        <v>446485663.110375</v>
      </c>
      <c r="M48" s="57">
        <f t="shared" si="6"/>
        <v>547014979.642359</v>
      </c>
      <c r="N48" s="57">
        <f t="shared" si="6"/>
        <v>677927728.7498</v>
      </c>
    </row>
    <row r="49" ht="31" customHeight="1" spans="3:14">
      <c r="C49" s="92" t="s">
        <v>307</v>
      </c>
      <c r="D49" s="92"/>
      <c r="E49" s="49">
        <f>E41</f>
        <v>2655000</v>
      </c>
      <c r="F49" s="49">
        <f t="shared" ref="F49:N49" si="7">F41</f>
        <v>2806500</v>
      </c>
      <c r="G49" s="49">
        <f t="shared" si="7"/>
        <v>4143770</v>
      </c>
      <c r="H49" s="49">
        <f t="shared" si="7"/>
        <v>4433901.4</v>
      </c>
      <c r="I49" s="49">
        <f t="shared" si="7"/>
        <v>6644646.968</v>
      </c>
      <c r="J49" s="49">
        <f t="shared" si="7"/>
        <v>7076774.64916</v>
      </c>
      <c r="K49" s="49">
        <f t="shared" si="7"/>
        <v>7540269.8217092</v>
      </c>
      <c r="L49" s="49">
        <f t="shared" si="7"/>
        <v>8537674.67460381</v>
      </c>
      <c r="M49" s="49">
        <f t="shared" si="7"/>
        <v>9071757.96846255</v>
      </c>
      <c r="N49" s="49">
        <f t="shared" si="7"/>
        <v>9645536.80064486</v>
      </c>
    </row>
    <row r="50" ht="31" customHeight="1" spans="3:15">
      <c r="C50" s="95" t="s">
        <v>308</v>
      </c>
      <c r="D50" s="95"/>
      <c r="E50" s="104">
        <f>E48-E49</f>
        <v>-2655000</v>
      </c>
      <c r="F50" s="105">
        <f t="shared" ref="F50:N50" si="8">F48-F49</f>
        <v>193500</v>
      </c>
      <c r="G50" s="104">
        <f t="shared" si="8"/>
        <v>4856230</v>
      </c>
      <c r="H50" s="104">
        <f t="shared" si="8"/>
        <v>9741098.6</v>
      </c>
      <c r="I50" s="104">
        <f t="shared" si="8"/>
        <v>15680978.032</v>
      </c>
      <c r="J50" s="104">
        <f t="shared" si="8"/>
        <v>291822000.35084</v>
      </c>
      <c r="K50" s="104">
        <f t="shared" si="8"/>
        <v>355623825.528291</v>
      </c>
      <c r="L50" s="104">
        <f t="shared" si="8"/>
        <v>437947988.435771</v>
      </c>
      <c r="M50" s="104">
        <f t="shared" si="8"/>
        <v>537943221.673897</v>
      </c>
      <c r="N50" s="104">
        <f t="shared" si="8"/>
        <v>668282191.949155</v>
      </c>
      <c r="O50" s="107" t="s">
        <v>309</v>
      </c>
    </row>
    <row r="51" spans="3:14">
      <c r="C51" s="38"/>
      <c r="D51" s="38"/>
      <c r="E51" s="57"/>
      <c r="F51" s="57"/>
      <c r="G51" s="57"/>
      <c r="H51" s="57"/>
      <c r="I51" s="57"/>
      <c r="J51" s="57"/>
      <c r="K51" s="57"/>
      <c r="L51" s="57"/>
      <c r="M51" s="57"/>
      <c r="N51" s="57"/>
    </row>
  </sheetData>
  <mergeCells count="8">
    <mergeCell ref="D2:H2"/>
    <mergeCell ref="D3:H3"/>
    <mergeCell ref="D4:H4"/>
    <mergeCell ref="D5:H5"/>
    <mergeCell ref="C16:C19"/>
    <mergeCell ref="C20:C23"/>
    <mergeCell ref="C34:C38"/>
    <mergeCell ref="C39:C40"/>
  </mergeCells>
  <dataValidations count="1">
    <dataValidation type="list" allowBlank="1" showInputMessage="1" showErrorMessage="1" sqref="D10 D29">
      <formula1>'1. Instructions &amp; Definitions'!$C$24:$C$26</formula1>
    </dataValidation>
  </dataValidation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137"/>
  <sheetViews>
    <sheetView showGridLines="0" zoomScale="62" zoomScaleNormal="62" topLeftCell="A52" workbookViewId="0">
      <selection activeCell="C19" sqref="C19"/>
    </sheetView>
  </sheetViews>
  <sheetFormatPr defaultColWidth="8.66071428571429" defaultRowHeight="16.8"/>
  <cols>
    <col min="1" max="1" width="4.5" style="4" customWidth="1"/>
    <col min="2" max="2" width="4.33035714285714" style="4" customWidth="1"/>
    <col min="3" max="3" width="38.6607142857143" style="5" customWidth="1"/>
    <col min="4" max="4" width="21.3303571428571" style="4" customWidth="1"/>
    <col min="5"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310</v>
      </c>
      <c r="E2" s="8"/>
      <c r="F2" s="8"/>
      <c r="G2" s="8"/>
      <c r="H2" s="8"/>
    </row>
    <row r="3" ht="16" customHeight="1" spans="4:8">
      <c r="D3" s="9"/>
      <c r="E3" s="9"/>
      <c r="F3" s="9"/>
      <c r="G3" s="9"/>
      <c r="H3" s="9"/>
    </row>
    <row r="4" ht="23.5" customHeight="1" spans="4:8">
      <c r="D4" s="9" t="s">
        <v>311</v>
      </c>
      <c r="E4" s="9"/>
      <c r="F4" s="9"/>
      <c r="G4" s="9"/>
      <c r="H4" s="9"/>
    </row>
    <row r="5" ht="21.5" customHeight="1" spans="4:8">
      <c r="D5" s="9" t="s">
        <v>312</v>
      </c>
      <c r="E5" s="9"/>
      <c r="F5" s="9"/>
      <c r="G5" s="9"/>
      <c r="H5" s="9"/>
    </row>
    <row r="6" ht="21.5" customHeight="1" spans="4:8">
      <c r="D6" s="10" t="s">
        <v>313</v>
      </c>
      <c r="E6" s="9"/>
      <c r="F6" s="9"/>
      <c r="G6" s="9"/>
      <c r="H6" s="9"/>
    </row>
    <row r="7" ht="17.55" spans="1:19">
      <c r="A7" s="11"/>
      <c r="B7" s="11"/>
      <c r="C7" s="12"/>
      <c r="D7" s="11"/>
      <c r="E7" s="11"/>
      <c r="F7" s="11"/>
      <c r="G7" s="12"/>
      <c r="H7" s="11"/>
      <c r="I7" s="11"/>
      <c r="J7" s="11"/>
      <c r="K7" s="11"/>
      <c r="L7" s="11"/>
      <c r="M7" s="11"/>
      <c r="N7" s="11"/>
      <c r="O7" s="11"/>
      <c r="P7" s="11"/>
      <c r="Q7" s="11"/>
      <c r="R7" s="11"/>
      <c r="S7" s="11"/>
    </row>
    <row r="9" ht="24" spans="3:3">
      <c r="C9" s="13" t="s">
        <v>249</v>
      </c>
    </row>
    <row r="10" spans="2:3">
      <c r="B10" s="14">
        <v>1</v>
      </c>
      <c r="C10" s="15" t="s">
        <v>314</v>
      </c>
    </row>
    <row r="11" spans="2:3">
      <c r="B11" s="14">
        <v>2</v>
      </c>
      <c r="C11" s="15" t="s">
        <v>315</v>
      </c>
    </row>
    <row r="12" spans="2:3">
      <c r="B12" s="14">
        <v>3</v>
      </c>
      <c r="C12" s="15" t="s">
        <v>316</v>
      </c>
    </row>
    <row r="13" spans="2:3">
      <c r="B13" s="14">
        <v>4</v>
      </c>
      <c r="C13" s="15" t="s">
        <v>317</v>
      </c>
    </row>
    <row r="14" spans="2:3">
      <c r="B14" s="14">
        <v>5</v>
      </c>
      <c r="C14" s="15" t="s">
        <v>318</v>
      </c>
    </row>
    <row r="15" spans="2:3">
      <c r="B15" s="14">
        <v>6</v>
      </c>
      <c r="C15" s="15" t="s">
        <v>319</v>
      </c>
    </row>
    <row r="16" spans="2:3">
      <c r="B16" s="14">
        <v>7</v>
      </c>
      <c r="C16" s="15" t="s">
        <v>320</v>
      </c>
    </row>
    <row r="17" spans="2:3">
      <c r="B17" s="14">
        <v>8</v>
      </c>
      <c r="C17" s="15" t="s">
        <v>321</v>
      </c>
    </row>
    <row r="18" spans="2:3">
      <c r="B18" s="14">
        <v>9</v>
      </c>
      <c r="C18" s="15" t="s">
        <v>322</v>
      </c>
    </row>
    <row r="19" spans="2:3">
      <c r="B19" s="14">
        <v>10</v>
      </c>
      <c r="C19" s="15" t="s">
        <v>323</v>
      </c>
    </row>
    <row r="20" spans="3:3">
      <c r="C20" s="14"/>
    </row>
    <row r="21" ht="17" spans="3:3">
      <c r="C21" s="16" t="s">
        <v>324</v>
      </c>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ht="24" spans="3:3">
      <c r="C38" s="13" t="s">
        <v>325</v>
      </c>
    </row>
    <row r="39" ht="23.2" spans="3:3">
      <c r="C39" s="13"/>
    </row>
    <row r="40" ht="51" customHeight="1" spans="3:6">
      <c r="C40" s="17" t="s">
        <v>326</v>
      </c>
      <c r="D40" s="18" t="s">
        <v>327</v>
      </c>
      <c r="E40" s="18"/>
      <c r="F40" s="40"/>
    </row>
    <row r="42" ht="28" customHeight="1" spans="3:13">
      <c r="C42" s="19"/>
      <c r="D42" s="20">
        <v>2026</v>
      </c>
      <c r="E42" s="20">
        <v>2027</v>
      </c>
      <c r="F42" s="20">
        <v>2028</v>
      </c>
      <c r="G42" s="20">
        <v>2029</v>
      </c>
      <c r="H42" s="20">
        <v>2030</v>
      </c>
      <c r="I42" s="20">
        <v>2031</v>
      </c>
      <c r="J42" s="20">
        <v>2032</v>
      </c>
      <c r="K42" s="20">
        <v>2033</v>
      </c>
      <c r="L42" s="20">
        <v>2034</v>
      </c>
      <c r="M42" s="20">
        <v>2035</v>
      </c>
    </row>
    <row r="43" ht="28" customHeight="1" spans="3:13">
      <c r="C43" s="21" t="s">
        <v>328</v>
      </c>
      <c r="D43" s="22" t="s">
        <v>329</v>
      </c>
      <c r="E43" s="22">
        <f>'2. Control Panel'!$L$21</f>
        <v>1</v>
      </c>
      <c r="F43" s="22">
        <f>'2. Control Panel'!$L$22</f>
        <v>0.5</v>
      </c>
      <c r="G43" s="22">
        <f>'2. Control Panel'!$L$22</f>
        <v>0.5</v>
      </c>
      <c r="H43" s="22">
        <f>'2. Control Panel'!$L$22</f>
        <v>0.5</v>
      </c>
      <c r="I43" s="22">
        <f>'2. Control Panel'!$L$23</f>
        <v>0.6</v>
      </c>
      <c r="J43" s="22">
        <f>'2. Control Panel'!$L$23</f>
        <v>0.6</v>
      </c>
      <c r="K43" s="22">
        <f>'2. Control Panel'!$L$23</f>
        <v>0.6</v>
      </c>
      <c r="L43" s="22">
        <f>'2. Control Panel'!$L$24</f>
        <v>0.5</v>
      </c>
      <c r="M43" s="22">
        <f>'2. Control Panel'!$L$24</f>
        <v>0.5</v>
      </c>
    </row>
    <row r="44" ht="30" customHeight="1" spans="3:13">
      <c r="C44" s="23" t="s">
        <v>330</v>
      </c>
      <c r="D44" s="24">
        <f>'2. Control Panel'!$L$18</f>
        <v>15</v>
      </c>
      <c r="E44" s="41">
        <f>D44*(1+E43)</f>
        <v>30</v>
      </c>
      <c r="F44" s="41">
        <f>E44*(1+F43)</f>
        <v>45</v>
      </c>
      <c r="G44" s="41">
        <f t="shared" ref="G44:M44" si="0">F44*(1+G43)</f>
        <v>67.5</v>
      </c>
      <c r="H44" s="41">
        <f t="shared" si="0"/>
        <v>101.25</v>
      </c>
      <c r="I44" s="41">
        <f t="shared" si="0"/>
        <v>162</v>
      </c>
      <c r="J44" s="41">
        <f t="shared" si="0"/>
        <v>259.2</v>
      </c>
      <c r="K44" s="41">
        <f t="shared" si="0"/>
        <v>414.72</v>
      </c>
      <c r="L44" s="41">
        <f t="shared" si="0"/>
        <v>622.08</v>
      </c>
      <c r="M44" s="41">
        <f t="shared" si="0"/>
        <v>933.12</v>
      </c>
    </row>
    <row r="45" ht="35" customHeight="1" spans="3:13">
      <c r="C45" s="25" t="s">
        <v>331</v>
      </c>
      <c r="D45" s="26">
        <f>'2. Control Panel'!L18*'2. Control Panel'!L19</f>
        <v>15</v>
      </c>
      <c r="E45" s="27">
        <f>(E44-D44)*'2. Control Panel'!L19</f>
        <v>15</v>
      </c>
      <c r="F45" s="27">
        <f>(F44-E44)*'2. Control Panel'!$L$20</f>
        <v>0</v>
      </c>
      <c r="G45" s="27">
        <f>(G44-F44)*'2. Control Panel'!$L$20</f>
        <v>0</v>
      </c>
      <c r="H45" s="27">
        <f>(H44-G44)*'2. Control Panel'!$L$20</f>
        <v>0</v>
      </c>
      <c r="I45" s="27">
        <f>(I44-H44)*'2. Control Panel'!$L$20</f>
        <v>0</v>
      </c>
      <c r="J45" s="27">
        <f>(J44-I44)*'2. Control Panel'!$L$20</f>
        <v>0</v>
      </c>
      <c r="K45" s="27">
        <f>(K44-J44)*'2. Control Panel'!$L$20</f>
        <v>0</v>
      </c>
      <c r="L45" s="27">
        <f>(L44-K44)*'2. Control Panel'!$L$20</f>
        <v>0</v>
      </c>
      <c r="M45" s="27">
        <f>(M44-L44)*'2. Control Panel'!$L$20</f>
        <v>0</v>
      </c>
    </row>
    <row r="46" ht="28" customHeight="1" spans="3:14">
      <c r="C46" s="25" t="s">
        <v>332</v>
      </c>
      <c r="D46" s="27">
        <f t="shared" ref="D46:E46" si="1">D44-D45</f>
        <v>0</v>
      </c>
      <c r="E46" s="42">
        <f t="shared" si="1"/>
        <v>15</v>
      </c>
      <c r="F46" s="42">
        <f>IF(E44*(1+F43)&gt;'2. Control Panel'!$L$33,'2. Control Panel'!$L$33,'4.1 Revenue &amp; Cost Breakdown'!E44*(1+'4.1 Revenue &amp; Cost Breakdown'!F43))</f>
        <v>45</v>
      </c>
      <c r="G46" s="42">
        <f>IF(F44*(1+G43)&gt;'2. Control Panel'!$L$33,'2. Control Panel'!$L$33,'4.1 Revenue &amp; Cost Breakdown'!F44*(1+'4.1 Revenue &amp; Cost Breakdown'!G43))</f>
        <v>67.5</v>
      </c>
      <c r="H46" s="42">
        <f>IF(G44*(1+H43)&gt;'2. Control Panel'!$L$33,'2. Control Panel'!$L$33,'4.1 Revenue &amp; Cost Breakdown'!G44*(1+'4.1 Revenue &amp; Cost Breakdown'!H43))</f>
        <v>101.25</v>
      </c>
      <c r="I46" s="42">
        <f>IF(H44*(1+I43)&gt;'2. Control Panel'!$L$33,'2. Control Panel'!$L$33,'4.1 Revenue &amp; Cost Breakdown'!H44*(1+'4.1 Revenue &amp; Cost Breakdown'!I43))</f>
        <v>162</v>
      </c>
      <c r="J46" s="42">
        <f>IF(I44*(1+J43)&gt;'2. Control Panel'!$L$33,'2. Control Panel'!$L$33,'4.1 Revenue &amp; Cost Breakdown'!I44*(1+'4.1 Revenue &amp; Cost Breakdown'!J43))</f>
        <v>187</v>
      </c>
      <c r="K46" s="42">
        <f>IF(J44*(1+K43)&gt;'2. Control Panel'!$L$33,'2. Control Panel'!$L$33,'4.1 Revenue &amp; Cost Breakdown'!J44*(1+'4.1 Revenue &amp; Cost Breakdown'!K43))</f>
        <v>187</v>
      </c>
      <c r="L46" s="42">
        <f>IF(K44*(1+L43)&gt;'2. Control Panel'!$L$33,'2. Control Panel'!$L$33,'4.1 Revenue &amp; Cost Breakdown'!K44*(1+'4.1 Revenue &amp; Cost Breakdown'!L43))</f>
        <v>187</v>
      </c>
      <c r="M46" s="42">
        <f>IF(L44*(1+M43)&gt;'2. Control Panel'!$L$33,'2. Control Panel'!$L$33,'4.1 Revenue &amp; Cost Breakdown'!L44*(1+'4.1 Revenue &amp; Cost Breakdown'!M43))</f>
        <v>187</v>
      </c>
      <c r="N46" s="46"/>
    </row>
    <row r="47" ht="28" customHeight="1" spans="3:13">
      <c r="C47" s="25" t="s">
        <v>333</v>
      </c>
      <c r="D47" s="28"/>
      <c r="E47" s="27">
        <f t="array" ref="E47">_xlfn.IFS(E44&lt;='2. Control Panel'!$L$33,0,AND('4.1 Revenue &amp; Cost Breakdown'!E44&gt;'2. Control Panel'!$L$33,'4.1 Revenue &amp; Cost Breakdown'!E44&lt;('2. Control Panel'!$L$33+'2. Control Panel'!$L$34)),'4.1 Revenue &amp; Cost Breakdown'!E44-SUM('4.1 Revenue &amp; Cost Breakdown'!E45:E46),'4.1 Revenue &amp; Cost Breakdown'!E44&gt;('2. Control Panel'!$L$33+'2. Control Panel'!$L$34),'2. Control Panel'!$L$34)</f>
        <v>0</v>
      </c>
      <c r="F47" s="27">
        <f t="array" ref="F47">_xlfn.IFS(F44&lt;='2. Control Panel'!$L$33,0,AND('4.1 Revenue &amp; Cost Breakdown'!F44&gt;'2. Control Panel'!$L$33,'4.1 Revenue &amp; Cost Breakdown'!F44&lt;('2. Control Panel'!$L$33+'2. Control Panel'!$L$34)),'4.1 Revenue &amp; Cost Breakdown'!F44-SUM('4.1 Revenue &amp; Cost Breakdown'!F45:F46),'4.1 Revenue &amp; Cost Breakdown'!F44&gt;('2. Control Panel'!$L$33+'2. Control Panel'!$L$34),'2. Control Panel'!$L$34)</f>
        <v>0</v>
      </c>
      <c r="G47" s="27">
        <f t="array" ref="G47">_xlfn.IFS(G44&lt;='2. Control Panel'!$L$33,0,AND('4.1 Revenue &amp; Cost Breakdown'!G44&gt;'2. Control Panel'!$L$33,'4.1 Revenue &amp; Cost Breakdown'!G44&lt;('2. Control Panel'!$L$33+'2. Control Panel'!$L$34)),'4.1 Revenue &amp; Cost Breakdown'!G44-SUM('4.1 Revenue &amp; Cost Breakdown'!G45:G46),'4.1 Revenue &amp; Cost Breakdown'!G44&gt;('2. Control Panel'!$L$33+'2. Control Panel'!$L$34),'2. Control Panel'!$L$34)</f>
        <v>0</v>
      </c>
      <c r="H47" s="27">
        <f t="array" ref="H47">_xlfn.IFS(H44&lt;='2. Control Panel'!$L$33,0,AND('4.1 Revenue &amp; Cost Breakdown'!H44&gt;'2. Control Panel'!$L$33,'4.1 Revenue &amp; Cost Breakdown'!H44&lt;('2. Control Panel'!$L$33+'2. Control Panel'!$L$34)),'4.1 Revenue &amp; Cost Breakdown'!H44-SUM('4.1 Revenue &amp; Cost Breakdown'!H45:H46),'4.1 Revenue &amp; Cost Breakdown'!H44&gt;('2. Control Panel'!$L$33+'2. Control Panel'!$L$34),'2. Control Panel'!$L$34)</f>
        <v>0</v>
      </c>
      <c r="I47" s="27">
        <f t="array" ref="I47">_xlfn.IFS(I44&lt;='2. Control Panel'!$L$33,0,AND('4.1 Revenue &amp; Cost Breakdown'!I44&gt;'2. Control Panel'!$L$33,'4.1 Revenue &amp; Cost Breakdown'!I44&lt;('2. Control Panel'!$L$33+'2. Control Panel'!$L$34)),'4.1 Revenue &amp; Cost Breakdown'!I44-SUM('4.1 Revenue &amp; Cost Breakdown'!I45:I46),'4.1 Revenue &amp; Cost Breakdown'!I44&gt;('2. Control Panel'!$L$33+'2. Control Panel'!$L$34),'2. Control Panel'!$L$34)</f>
        <v>0</v>
      </c>
      <c r="J47" s="27">
        <f t="array" ref="J47">_xlfn.IFS(J44&lt;='2. Control Panel'!$L$33,0,AND('4.1 Revenue &amp; Cost Breakdown'!J44&gt;'2. Control Panel'!$L$33,'4.1 Revenue &amp; Cost Breakdown'!J44&lt;('2. Control Panel'!$L$33+'2. Control Panel'!$L$34)),'4.1 Revenue &amp; Cost Breakdown'!J44-SUM('4.1 Revenue &amp; Cost Breakdown'!J45:J46),'4.1 Revenue &amp; Cost Breakdown'!J44&gt;('2. Control Panel'!$L$33+'2. Control Panel'!$L$34),'2. Control Panel'!$L$34)</f>
        <v>72.2</v>
      </c>
      <c r="K47" s="27">
        <f t="array" ref="K47">_xlfn.IFS(K44&lt;='2. Control Panel'!$L$33,0,AND('4.1 Revenue &amp; Cost Breakdown'!K44&gt;'2. Control Panel'!$L$33,'4.1 Revenue &amp; Cost Breakdown'!K44&lt;('2. Control Panel'!$L$33+'2. Control Panel'!$L$34)),'4.1 Revenue &amp; Cost Breakdown'!K44-SUM('4.1 Revenue &amp; Cost Breakdown'!K45:K46),'4.1 Revenue &amp; Cost Breakdown'!K44&gt;('2. Control Panel'!$L$33+'2. Control Panel'!$L$34),'2. Control Panel'!$L$34)</f>
        <v>139</v>
      </c>
      <c r="L47" s="27">
        <f t="array" ref="L47">_xlfn.IFS(L44&lt;='2. Control Panel'!$L$33,0,AND('4.1 Revenue &amp; Cost Breakdown'!L44&gt;'2. Control Panel'!$L$33,'4.1 Revenue &amp; Cost Breakdown'!L44&lt;('2. Control Panel'!$L$33+'2. Control Panel'!$L$34)),'4.1 Revenue &amp; Cost Breakdown'!L44-SUM('4.1 Revenue &amp; Cost Breakdown'!L45:L46),'4.1 Revenue &amp; Cost Breakdown'!L44&gt;('2. Control Panel'!$L$33+'2. Control Panel'!$L$34),'2. Control Panel'!$L$34)</f>
        <v>139</v>
      </c>
      <c r="M47" s="27">
        <f t="array" ref="M47">_xlfn.IFS(M44&lt;='2. Control Panel'!$L$33,0,AND('4.1 Revenue &amp; Cost Breakdown'!M44&gt;'2. Control Panel'!$L$33,'4.1 Revenue &amp; Cost Breakdown'!M44&lt;('2. Control Panel'!$L$33+'2. Control Panel'!$L$34)),'4.1 Revenue &amp; Cost Breakdown'!M44-SUM('4.1 Revenue &amp; Cost Breakdown'!M45:M46),'4.1 Revenue &amp; Cost Breakdown'!M44&gt;('2. Control Panel'!$L$33+'2. Control Panel'!$L$34),'2. Control Panel'!$L$34)</f>
        <v>139</v>
      </c>
    </row>
    <row r="48" ht="28" customHeight="1" spans="3:13">
      <c r="C48" s="25" t="s">
        <v>334</v>
      </c>
      <c r="D48" s="28"/>
      <c r="E48" s="27">
        <f t="array" ref="E48">_xlfn.IFS(E44&lt;=('2. Control Panel'!$L$33+'2. Control Panel'!$L$34),0,AND('4.1 Revenue &amp; Cost Breakdown'!E44&gt;('2. Control Panel'!$L$33+'2. Control Panel'!$L$34),'4.1 Revenue &amp; Cost Breakdown'!E44&lt;('2. Control Panel'!$L$33+'2. Control Panel'!$L$34+'2. Control Panel'!$L$35)),'4.1 Revenue &amp; Cost Breakdown'!E44-SUM('4.1 Revenue &amp; Cost Breakdown'!E45:E47),'4.1 Revenue &amp; Cost Breakdown'!E44&gt;('2. Control Panel'!$L$33+'2. Control Panel'!$L$34+'2. Control Panel'!$L$35),'2. Control Panel'!$L$35)</f>
        <v>0</v>
      </c>
      <c r="F48" s="27">
        <f t="array" ref="F48">_xlfn.IFS(F44&lt;=('2. Control Panel'!$L$33+'2. Control Panel'!$L$34),0,AND('4.1 Revenue &amp; Cost Breakdown'!F44&gt;('2. Control Panel'!$L$33+'2. Control Panel'!$L$34),'4.1 Revenue &amp; Cost Breakdown'!F44&lt;('2. Control Panel'!$L$33+'2. Control Panel'!$L$34+'2. Control Panel'!$L$35)),'4.1 Revenue &amp; Cost Breakdown'!F44-SUM('4.1 Revenue &amp; Cost Breakdown'!F45:F47),'4.1 Revenue &amp; Cost Breakdown'!F44&gt;('2. Control Panel'!$L$33+'2. Control Panel'!$L$34+'2. Control Panel'!$L$35),'2. Control Panel'!$L$35)</f>
        <v>0</v>
      </c>
      <c r="G48" s="27">
        <f t="array" ref="G48">_xlfn.IFS(G44&lt;=('2. Control Panel'!$L$33+'2. Control Panel'!$L$34),0,AND('4.1 Revenue &amp; Cost Breakdown'!G44&gt;('2. Control Panel'!$L$33+'2. Control Panel'!$L$34),'4.1 Revenue &amp; Cost Breakdown'!G44&lt;('2. Control Panel'!$L$33+'2. Control Panel'!$L$34+'2. Control Panel'!$L$35)),'4.1 Revenue &amp; Cost Breakdown'!G44-SUM('4.1 Revenue &amp; Cost Breakdown'!G45:G47),'4.1 Revenue &amp; Cost Breakdown'!G44&gt;('2. Control Panel'!$L$33+'2. Control Panel'!$L$34+'2. Control Panel'!$L$35),'2. Control Panel'!$L$35)</f>
        <v>0</v>
      </c>
      <c r="H48" s="27">
        <f t="array" ref="H48">_xlfn.IFS(H44&lt;=('2. Control Panel'!$L$33+'2. Control Panel'!$L$34),0,AND('4.1 Revenue &amp; Cost Breakdown'!H44&gt;('2. Control Panel'!$L$33+'2. Control Panel'!$L$34),'4.1 Revenue &amp; Cost Breakdown'!H44&lt;('2. Control Panel'!$L$33+'2. Control Panel'!$L$34+'2. Control Panel'!$L$35)),'4.1 Revenue &amp; Cost Breakdown'!H44-SUM('4.1 Revenue &amp; Cost Breakdown'!H45:H47),'4.1 Revenue &amp; Cost Breakdown'!H44&gt;('2. Control Panel'!$L$33+'2. Control Panel'!$L$34+'2. Control Panel'!$L$35),'2. Control Panel'!$L$35)</f>
        <v>0</v>
      </c>
      <c r="I48" s="27">
        <f t="array" ref="I48">_xlfn.IFS(I44&lt;=('2. Control Panel'!$L$33+'2. Control Panel'!$L$34),0,AND('4.1 Revenue &amp; Cost Breakdown'!I44&gt;('2. Control Panel'!$L$33+'2. Control Panel'!$L$34),'4.1 Revenue &amp; Cost Breakdown'!I44&lt;('2. Control Panel'!$L$33+'2. Control Panel'!$L$34+'2. Control Panel'!$L$35)),'4.1 Revenue &amp; Cost Breakdown'!I44-SUM('4.1 Revenue &amp; Cost Breakdown'!I45:I47),'4.1 Revenue &amp; Cost Breakdown'!I44&gt;('2. Control Panel'!$L$33+'2. Control Panel'!$L$34+'2. Control Panel'!$L$35),'2. Control Panel'!$L$35)</f>
        <v>0</v>
      </c>
      <c r="J48" s="27">
        <f t="array" ref="J48">_xlfn.IFS(J44&lt;=('2. Control Panel'!$L$33+'2. Control Panel'!$L$34),0,AND('4.1 Revenue &amp; Cost Breakdown'!J44&gt;('2. Control Panel'!$L$33+'2. Control Panel'!$L$34),'4.1 Revenue &amp; Cost Breakdown'!J44&lt;('2. Control Panel'!$L$33+'2. Control Panel'!$L$34+'2. Control Panel'!$L$35)),'4.1 Revenue &amp; Cost Breakdown'!J44-SUM('4.1 Revenue &amp; Cost Breakdown'!J45:J47),'4.1 Revenue &amp; Cost Breakdown'!J44&gt;('2. Control Panel'!$L$33+'2. Control Panel'!$L$34+'2. Control Panel'!$L$35),'2. Control Panel'!$L$35)</f>
        <v>0</v>
      </c>
      <c r="K48" s="27">
        <f t="array" ref="K48">_xlfn.IFS(K44&lt;=('2. Control Panel'!$L$33+'2. Control Panel'!$L$34),0,AND('4.1 Revenue &amp; Cost Breakdown'!K44&gt;('2. Control Panel'!$L$33+'2. Control Panel'!$L$34),'4.1 Revenue &amp; Cost Breakdown'!K44&lt;('2. Control Panel'!$L$33+'2. Control Panel'!$L$34+'2. Control Panel'!$L$35)),'4.1 Revenue &amp; Cost Breakdown'!K44-SUM('4.1 Revenue &amp; Cost Breakdown'!K45:K47),'4.1 Revenue &amp; Cost Breakdown'!K44&gt;('2. Control Panel'!$L$33+'2. Control Panel'!$L$34+'2. Control Panel'!$L$35),'2. Control Panel'!$L$35)</f>
        <v>88.72</v>
      </c>
      <c r="L48" s="27">
        <f t="array" ref="L48">_xlfn.IFS(L44&lt;=('2. Control Panel'!$L$33+'2. Control Panel'!$L$34),0,AND('4.1 Revenue &amp; Cost Breakdown'!L44&gt;('2. Control Panel'!$L$33+'2. Control Panel'!$L$34),'4.1 Revenue &amp; Cost Breakdown'!L44&lt;('2. Control Panel'!$L$33+'2. Control Panel'!$L$34+'2. Control Panel'!$L$35)),'4.1 Revenue &amp; Cost Breakdown'!L44-SUM('4.1 Revenue &amp; Cost Breakdown'!L45:L47),'4.1 Revenue &amp; Cost Breakdown'!L44&gt;('2. Control Panel'!$L$33+'2. Control Panel'!$L$34+'2. Control Panel'!$L$35),'2. Control Panel'!$L$35)</f>
        <v>189</v>
      </c>
      <c r="M48" s="27">
        <f t="array" ref="M48">_xlfn.IFS(M44&lt;=('2. Control Panel'!$L$33+'2. Control Panel'!$L$34),0,AND('4.1 Revenue &amp; Cost Breakdown'!M44&gt;('2. Control Panel'!$L$33+'2. Control Panel'!$L$34),'4.1 Revenue &amp; Cost Breakdown'!M44&lt;('2. Control Panel'!$L$33+'2. Control Panel'!$L$34+'2. Control Panel'!$L$35)),'4.1 Revenue &amp; Cost Breakdown'!M44-SUM('4.1 Revenue &amp; Cost Breakdown'!M45:M47),'4.1 Revenue &amp; Cost Breakdown'!M44&gt;('2. Control Panel'!$L$33+'2. Control Panel'!$L$34+'2. Control Panel'!$L$35),'2. Control Panel'!$L$35)</f>
        <v>189</v>
      </c>
    </row>
    <row r="49" ht="28" customHeight="1" spans="3:17">
      <c r="C49" s="25" t="s">
        <v>335</v>
      </c>
      <c r="D49" s="28"/>
      <c r="E49" s="27">
        <f t="array" ref="E49">_xlfn.IFS(E44&lt;=('2. Control Panel'!$L$33+'2. Control Panel'!$L$34+'2. Control Panel'!$L$35),0,AND('4.1 Revenue &amp; Cost Breakdown'!E44&gt;('2. Control Panel'!$L$33+'2. Control Panel'!$L$34+'2. Control Panel'!$L$35),'4.1 Revenue &amp; Cost Breakdown'!E44&lt;('2. Control Panel'!$L$33+'2. Control Panel'!$L$34+'2. Control Panel'!$L$35+'2. Control Panel'!$L$36)),'4.1 Revenue &amp; Cost Breakdown'!E44-SUM('4.1 Revenue &amp; Cost Breakdown'!E45:E48),'4.1 Revenue &amp; Cost Breakdown'!E44&gt;('2. Control Panel'!$L$33+'2. Control Panel'!$L$34+'2. Control Panel'!$L$35+'2. Control Panel'!$L$36),'2. Control Panel'!$L$36)</f>
        <v>0</v>
      </c>
      <c r="F49" s="27">
        <f t="array" ref="F49">_xlfn.IFS(F44&lt;=('2. Control Panel'!$L$33+'2. Control Panel'!$L$34+'2. Control Panel'!$L$35),0,AND('4.1 Revenue &amp; Cost Breakdown'!F44&gt;('2. Control Panel'!$L$33+'2. Control Panel'!$L$34+'2. Control Panel'!$L$35),'4.1 Revenue &amp; Cost Breakdown'!F44&lt;('2. Control Panel'!$L$33+'2. Control Panel'!$L$34+'2. Control Panel'!$L$35+'2. Control Panel'!$L$36)),'4.1 Revenue &amp; Cost Breakdown'!F44-SUM('4.1 Revenue &amp; Cost Breakdown'!F45:F48),'4.1 Revenue &amp; Cost Breakdown'!F44&gt;('2. Control Panel'!$L$33+'2. Control Panel'!$L$34+'2. Control Panel'!$L$35+'2. Control Panel'!$L$36),'2. Control Panel'!$L$36)</f>
        <v>0</v>
      </c>
      <c r="G49" s="27">
        <f t="array" ref="G49">_xlfn.IFS(G44&lt;=('2. Control Panel'!$L$33+'2. Control Panel'!$L$34+'2. Control Panel'!$L$35),0,AND('4.1 Revenue &amp; Cost Breakdown'!G44&gt;('2. Control Panel'!$L$33+'2. Control Panel'!$L$34+'2. Control Panel'!$L$35),'4.1 Revenue &amp; Cost Breakdown'!G44&lt;('2. Control Panel'!$L$33+'2. Control Panel'!$L$34+'2. Control Panel'!$L$35+'2. Control Panel'!$L$36)),'4.1 Revenue &amp; Cost Breakdown'!G44-SUM('4.1 Revenue &amp; Cost Breakdown'!G45:G48),'4.1 Revenue &amp; Cost Breakdown'!G44&gt;('2. Control Panel'!$L$33+'2. Control Panel'!$L$34+'2. Control Panel'!$L$35+'2. Control Panel'!$L$36),'2. Control Panel'!$L$36)</f>
        <v>0</v>
      </c>
      <c r="H49" s="27">
        <f t="array" ref="H49">_xlfn.IFS(H44&lt;=('2. Control Panel'!$L$33+'2. Control Panel'!$L$34+'2. Control Panel'!$L$35),0,AND('4.1 Revenue &amp; Cost Breakdown'!H44&gt;('2. Control Panel'!$L$33+'2. Control Panel'!$L$34+'2. Control Panel'!$L$35),'4.1 Revenue &amp; Cost Breakdown'!H44&lt;('2. Control Panel'!$L$33+'2. Control Panel'!$L$34+'2. Control Panel'!$L$35+'2. Control Panel'!$L$36)),'4.1 Revenue &amp; Cost Breakdown'!H44-SUM('4.1 Revenue &amp; Cost Breakdown'!H45:H48),'4.1 Revenue &amp; Cost Breakdown'!H44&gt;('2. Control Panel'!$L$33+'2. Control Panel'!$L$34+'2. Control Panel'!$L$35+'2. Control Panel'!$L$36),'2. Control Panel'!$L$36)</f>
        <v>0</v>
      </c>
      <c r="I49" s="27">
        <f t="array" ref="I49">_xlfn.IFS(I44&lt;=('2. Control Panel'!$L$33+'2. Control Panel'!$L$34+'2. Control Panel'!$L$35),0,AND('4.1 Revenue &amp; Cost Breakdown'!I44&gt;('2. Control Panel'!$L$33+'2. Control Panel'!$L$34+'2. Control Panel'!$L$35),'4.1 Revenue &amp; Cost Breakdown'!I44&lt;('2. Control Panel'!$L$33+'2. Control Panel'!$L$34+'2. Control Panel'!$L$35+'2. Control Panel'!$L$36)),'4.1 Revenue &amp; Cost Breakdown'!I44-SUM('4.1 Revenue &amp; Cost Breakdown'!I45:I48),'4.1 Revenue &amp; Cost Breakdown'!I44&gt;('2. Control Panel'!$L$33+'2. Control Panel'!$L$34+'2. Control Panel'!$L$35+'2. Control Panel'!$L$36),'2. Control Panel'!$L$36)</f>
        <v>0</v>
      </c>
      <c r="J49" s="27">
        <f t="array" ref="J49">_xlfn.IFS(J44&lt;=('2. Control Panel'!$L$33+'2. Control Panel'!$L$34+'2. Control Panel'!$L$35),0,AND('4.1 Revenue &amp; Cost Breakdown'!J44&gt;('2. Control Panel'!$L$33+'2. Control Panel'!$L$34+'2. Control Panel'!$L$35),'4.1 Revenue &amp; Cost Breakdown'!J44&lt;('2. Control Panel'!$L$33+'2. Control Panel'!$L$34+'2. Control Panel'!$L$35+'2. Control Panel'!$L$36)),'4.1 Revenue &amp; Cost Breakdown'!J44-SUM('4.1 Revenue &amp; Cost Breakdown'!J45:J48),'4.1 Revenue &amp; Cost Breakdown'!J44&gt;('2. Control Panel'!$L$33+'2. Control Panel'!$L$34+'2. Control Panel'!$L$35+'2. Control Panel'!$L$36),'2. Control Panel'!$L$36)</f>
        <v>0</v>
      </c>
      <c r="K49" s="27">
        <f t="array" ref="K49">_xlfn.IFS(K44&lt;=('2. Control Panel'!$L$33+'2. Control Panel'!$L$34+'2. Control Panel'!$L$35),0,AND('4.1 Revenue &amp; Cost Breakdown'!K44&gt;('2. Control Panel'!$L$33+'2. Control Panel'!$L$34+'2. Control Panel'!$L$35),'4.1 Revenue &amp; Cost Breakdown'!K44&lt;('2. Control Panel'!$L$33+'2. Control Panel'!$L$34+'2. Control Panel'!$L$35+'2. Control Panel'!$L$36)),'4.1 Revenue &amp; Cost Breakdown'!K44-SUM('4.1 Revenue &amp; Cost Breakdown'!K45:K48),'4.1 Revenue &amp; Cost Breakdown'!K44&gt;('2. Control Panel'!$L$33+'2. Control Panel'!$L$34+'2. Control Panel'!$L$35+'2. Control Panel'!$L$36),'2. Control Panel'!$L$36)</f>
        <v>0</v>
      </c>
      <c r="L49" s="27">
        <f t="array" ref="L49">_xlfn.IFS(L44&lt;=('2. Control Panel'!$L$33+'2. Control Panel'!$L$34+'2. Control Panel'!$L$35),0,AND('4.1 Revenue &amp; Cost Breakdown'!L44&gt;('2. Control Panel'!$L$33+'2. Control Panel'!$L$34+'2. Control Panel'!$L$35),'4.1 Revenue &amp; Cost Breakdown'!L44&lt;('2. Control Panel'!$L$33+'2. Control Panel'!$L$34+'2. Control Panel'!$L$35+'2. Control Panel'!$L$36)),'4.1 Revenue &amp; Cost Breakdown'!L44-SUM('4.1 Revenue &amp; Cost Breakdown'!L45:L48),'4.1 Revenue &amp; Cost Breakdown'!L44&gt;('2. Control Panel'!$L$33+'2. Control Panel'!$L$34+'2. Control Panel'!$L$35+'2. Control Panel'!$L$36),'2. Control Panel'!$L$36)</f>
        <v>107.08</v>
      </c>
      <c r="M49" s="27">
        <f t="array" ref="M49">_xlfn.IFS(M44&lt;=('2. Control Panel'!$L$33+'2. Control Panel'!$L$34+'2. Control Panel'!$L$35),0,AND('4.1 Revenue &amp; Cost Breakdown'!M44&gt;('2. Control Panel'!$L$33+'2. Control Panel'!$L$34+'2. Control Panel'!$L$35),'4.1 Revenue &amp; Cost Breakdown'!M44&lt;('2. Control Panel'!$L$33+'2. Control Panel'!$L$34+'2. Control Panel'!$L$35+'2. Control Panel'!$L$36)),'4.1 Revenue &amp; Cost Breakdown'!M44-SUM('4.1 Revenue &amp; Cost Breakdown'!M45:M48),'4.1 Revenue &amp; Cost Breakdown'!M44&gt;('2. Control Panel'!$L$33+'2. Control Panel'!$L$34+'2. Control Panel'!$L$35+'2. Control Panel'!$L$36),'2. Control Panel'!$L$36)</f>
        <v>418.12</v>
      </c>
      <c r="Q49" s="46"/>
    </row>
    <row r="50" s="3" customFormat="1" ht="34" customHeight="1" spans="3:15">
      <c r="C50" s="29" t="s">
        <v>336</v>
      </c>
      <c r="D50" s="30"/>
      <c r="E50" s="43">
        <f t="array" ref="E50">_xlfn.IFS(E44&lt;=('2. Control Panel'!$L$33+'2. Control Panel'!$L$34+'2. Control Panel'!$L$35+'2. Control Panel'!$L$36),0,AND('4.1 Revenue &amp; Cost Breakdown'!E44&gt;('2. Control Panel'!$L$33+'2. Control Panel'!$L$34+'2. Control Panel'!$L$35+'2. Control Panel'!$L$36),'4.1 Revenue &amp; Cost Breakdown'!E44&lt;('2. Control Panel'!$L$33+'2. Control Panel'!$L$34+'2. Control Panel'!$L$35+'2. Control Panel'!$L$36+'2. Control Panel'!$L$37)),'4.1 Revenue &amp; Cost Breakdown'!E44-SUM('4.1 Revenue &amp; Cost Breakdown'!E45:E49),'4.1 Revenue &amp; Cost Breakdown'!E44&gt;('2. Control Panel'!$L$33+'2. Control Panel'!$L$34+'2. Control Panel'!$L$35+'2. Control Panel'!$L$36+'2. Control Panel'!$L$37),'2. Control Panel'!$L$37)</f>
        <v>0</v>
      </c>
      <c r="F50" s="43">
        <f t="array" ref="F50">_xlfn.IFS(F44&lt;=('2. Control Panel'!$L$33+'2. Control Panel'!$L$34+'2. Control Panel'!$L$35+'2. Control Panel'!$L$36),0,AND('4.1 Revenue &amp; Cost Breakdown'!F44&gt;('2. Control Panel'!$L$33+'2. Control Panel'!$L$34+'2. Control Panel'!$L$35+'2. Control Panel'!$L$36),'4.1 Revenue &amp; Cost Breakdown'!F44&lt;('2. Control Panel'!$L$33+'2. Control Panel'!$L$34+'2. Control Panel'!$L$35+'2. Control Panel'!$L$36+'2. Control Panel'!$L$37)),'4.1 Revenue &amp; Cost Breakdown'!F44-SUM('4.1 Revenue &amp; Cost Breakdown'!F45:F49),'4.1 Revenue &amp; Cost Breakdown'!F44&gt;('2. Control Panel'!$L$33+'2. Control Panel'!$L$34+'2. Control Panel'!$L$35+'2. Control Panel'!$L$36+'2. Control Panel'!$L$37),'2. Control Panel'!$L$37)</f>
        <v>0</v>
      </c>
      <c r="G50" s="43">
        <f t="array" ref="G50">_xlfn.IFS(G44&lt;=('2. Control Panel'!$L$33+'2. Control Panel'!$L$34+'2. Control Panel'!$L$35+'2. Control Panel'!$L$36),0,AND('4.1 Revenue &amp; Cost Breakdown'!G44&gt;('2. Control Panel'!$L$33+'2. Control Panel'!$L$34+'2. Control Panel'!$L$35+'2. Control Panel'!$L$36),'4.1 Revenue &amp; Cost Breakdown'!G44&lt;('2. Control Panel'!$L$33+'2. Control Panel'!$L$34+'2. Control Panel'!$L$35+'2. Control Panel'!$L$36+'2. Control Panel'!$L$37)),'4.1 Revenue &amp; Cost Breakdown'!G44-SUM('4.1 Revenue &amp; Cost Breakdown'!G45:G49),'4.1 Revenue &amp; Cost Breakdown'!G44&gt;('2. Control Panel'!$L$33+'2. Control Panel'!$L$34+'2. Control Panel'!$L$35+'2. Control Panel'!$L$36+'2. Control Panel'!$L$37),'2. Control Panel'!$L$37)</f>
        <v>0</v>
      </c>
      <c r="H50" s="43">
        <f t="array" ref="H50">_xlfn.IFS(H44&lt;=('2. Control Panel'!$L$33+'2. Control Panel'!$L$34+'2. Control Panel'!$L$35+'2. Control Panel'!$L$36),0,AND('4.1 Revenue &amp; Cost Breakdown'!H44&gt;('2. Control Panel'!$L$33+'2. Control Panel'!$L$34+'2. Control Panel'!$L$35+'2. Control Panel'!$L$36),'4.1 Revenue &amp; Cost Breakdown'!H44&lt;('2. Control Panel'!$L$33+'2. Control Panel'!$L$34+'2. Control Panel'!$L$35+'2. Control Panel'!$L$36+'2. Control Panel'!$L$37)),'4.1 Revenue &amp; Cost Breakdown'!H44-SUM('4.1 Revenue &amp; Cost Breakdown'!H45:H49),'4.1 Revenue &amp; Cost Breakdown'!H44&gt;('2. Control Panel'!$L$33+'2. Control Panel'!$L$34+'2. Control Panel'!$L$35+'2. Control Panel'!$L$36+'2. Control Panel'!$L$37),'2. Control Panel'!$L$37)</f>
        <v>0</v>
      </c>
      <c r="I50" s="43">
        <f t="array" ref="I50">_xlfn.IFS(I44&lt;=('2. Control Panel'!$L$33+'2. Control Panel'!$L$34+'2. Control Panel'!$L$35+'2. Control Panel'!$L$36),0,AND('4.1 Revenue &amp; Cost Breakdown'!I44&gt;('2. Control Panel'!$L$33+'2. Control Panel'!$L$34+'2. Control Panel'!$L$35+'2. Control Panel'!$L$36),'4.1 Revenue &amp; Cost Breakdown'!I44&lt;('2. Control Panel'!$L$33+'2. Control Panel'!$L$34+'2. Control Panel'!$L$35+'2. Control Panel'!$L$36+'2. Control Panel'!$L$37)),'4.1 Revenue &amp; Cost Breakdown'!I44-SUM('4.1 Revenue &amp; Cost Breakdown'!I45:I49),'4.1 Revenue &amp; Cost Breakdown'!I44&gt;('2. Control Panel'!$L$33+'2. Control Panel'!$L$34+'2. Control Panel'!$L$35+'2. Control Panel'!$L$36+'2. Control Panel'!$L$37),'2. Control Panel'!$L$37)</f>
        <v>0</v>
      </c>
      <c r="J50" s="43">
        <f t="array" ref="J50">_xlfn.IFS(J44&lt;=('2. Control Panel'!$L$33+'2. Control Panel'!$L$34+'2. Control Panel'!$L$35+'2. Control Panel'!$L$36),0,AND('4.1 Revenue &amp; Cost Breakdown'!J44&gt;('2. Control Panel'!$L$33+'2. Control Panel'!$L$34+'2. Control Panel'!$L$35+'2. Control Panel'!$L$36),'4.1 Revenue &amp; Cost Breakdown'!J44&lt;('2. Control Panel'!$L$33+'2. Control Panel'!$L$34+'2. Control Panel'!$L$35+'2. Control Panel'!$L$36+'2. Control Panel'!$L$37)),'4.1 Revenue &amp; Cost Breakdown'!J44-SUM('4.1 Revenue &amp; Cost Breakdown'!J45:J49),'4.1 Revenue &amp; Cost Breakdown'!J44&gt;('2. Control Panel'!$L$33+'2. Control Panel'!$L$34+'2. Control Panel'!$L$35+'2. Control Panel'!$L$36+'2. Control Panel'!$L$37),'2. Control Panel'!$L$37)</f>
        <v>0</v>
      </c>
      <c r="K50" s="43">
        <f t="array" ref="K50">_xlfn.IFS(K44&lt;=('2. Control Panel'!$L$33+'2. Control Panel'!$L$34+'2. Control Panel'!$L$35+'2. Control Panel'!$L$36),0,AND('4.1 Revenue &amp; Cost Breakdown'!K44&gt;('2. Control Panel'!$L$33+'2. Control Panel'!$L$34+'2. Control Panel'!$L$35+'2. Control Panel'!$L$36),'4.1 Revenue &amp; Cost Breakdown'!K44&lt;('2. Control Panel'!$L$33+'2. Control Panel'!$L$34+'2. Control Panel'!$L$35+'2. Control Panel'!$L$36+'2. Control Panel'!$L$37)),'4.1 Revenue &amp; Cost Breakdown'!K44-SUM('4.1 Revenue &amp; Cost Breakdown'!K45:K49),'4.1 Revenue &amp; Cost Breakdown'!K44&gt;('2. Control Panel'!$L$33+'2. Control Panel'!$L$34+'2. Control Panel'!$L$35+'2. Control Panel'!$L$36+'2. Control Panel'!$L$37),'2. Control Panel'!$L$37)</f>
        <v>0</v>
      </c>
      <c r="L50" s="43">
        <f t="array" ref="L50">_xlfn.IFS(L44&lt;=('2. Control Panel'!$L$33+'2. Control Panel'!$L$34+'2. Control Panel'!$L$35+'2. Control Panel'!$L$36),0,AND('4.1 Revenue &amp; Cost Breakdown'!L44&gt;('2. Control Panel'!$L$33+'2. Control Panel'!$L$34+'2. Control Panel'!$L$35+'2. Control Panel'!$L$36),'4.1 Revenue &amp; Cost Breakdown'!L44&lt;('2. Control Panel'!$L$33+'2. Control Panel'!$L$34+'2. Control Panel'!$L$35+'2. Control Panel'!$L$36+'2. Control Panel'!$L$37)),'4.1 Revenue &amp; Cost Breakdown'!L44-SUM('4.1 Revenue &amp; Cost Breakdown'!L45:L49),'4.1 Revenue &amp; Cost Breakdown'!L44&gt;('2. Control Panel'!$L$33+'2. Control Panel'!$L$34+'2. Control Panel'!$L$35+'2. Control Panel'!$L$36+'2. Control Panel'!$L$37),'2. Control Panel'!$L$37)</f>
        <v>0</v>
      </c>
      <c r="M50" s="43">
        <f t="array" ref="M50">_xlfn.IFS(M44&lt;=('2. Control Panel'!$L$33+'2. Control Panel'!$L$34+'2. Control Panel'!$L$35+'2. Control Panel'!$L$36),0,AND('4.1 Revenue &amp; Cost Breakdown'!M44&gt;('2. Control Panel'!$L$33+'2. Control Panel'!$L$34+'2. Control Panel'!$L$35+'2. Control Panel'!$L$36),'4.1 Revenue &amp; Cost Breakdown'!M44&lt;('2. Control Panel'!$L$33+'2. Control Panel'!$L$34+'2. Control Panel'!$L$35+'2. Control Panel'!$L$36+'2. Control Panel'!$L$37)),'4.1 Revenue &amp; Cost Breakdown'!M44-SUM('4.1 Revenue &amp; Cost Breakdown'!M45:M49),'4.1 Revenue &amp; Cost Breakdown'!M44&gt;('2. Control Panel'!$L$33+'2. Control Panel'!$L$34+'2. Control Panel'!$L$35+'2. Control Panel'!$L$36+'2. Control Panel'!$L$37),'2. Control Panel'!$L$37)</f>
        <v>0</v>
      </c>
      <c r="O50" s="47"/>
    </row>
    <row r="51" s="3" customFormat="1" ht="26" customHeight="1" spans="3:13">
      <c r="C51" s="21" t="s">
        <v>337</v>
      </c>
      <c r="D51" s="22">
        <f>'2. Control Panel'!$L$31</f>
        <v>0</v>
      </c>
      <c r="E51" s="22">
        <f>'2. Control Panel'!$L$31</f>
        <v>0</v>
      </c>
      <c r="F51" s="22">
        <f>'2. Control Panel'!$L$31</f>
        <v>0</v>
      </c>
      <c r="G51" s="22">
        <f>'2. Control Panel'!$L$32</f>
        <v>0.05</v>
      </c>
      <c r="H51" s="22">
        <f>'2. Control Panel'!$L$32</f>
        <v>0.05</v>
      </c>
      <c r="I51" s="22">
        <f>'2. Control Panel'!$L$32</f>
        <v>0.05</v>
      </c>
      <c r="J51" s="22">
        <f>'2. Control Panel'!$L$32</f>
        <v>0.05</v>
      </c>
      <c r="K51" s="22">
        <f>'2. Control Panel'!$L$32</f>
        <v>0.05</v>
      </c>
      <c r="L51" s="22">
        <f>'2. Control Panel'!$L$32</f>
        <v>0.05</v>
      </c>
      <c r="M51" s="22">
        <f>'2. Control Panel'!$L$32</f>
        <v>0.05</v>
      </c>
    </row>
    <row r="52" s="3" customFormat="1" ht="26" customHeight="1" spans="3:13">
      <c r="C52" s="31" t="s">
        <v>338</v>
      </c>
      <c r="D52" s="32">
        <f>'2. Control Panel'!$L26*(1+$D$51)</f>
        <v>200000</v>
      </c>
      <c r="E52" s="32">
        <f>'2. Control Panel'!$L26*(1+$D$51)</f>
        <v>200000</v>
      </c>
      <c r="F52" s="32">
        <f>'2. Control Panel'!$L26*(1+$D$51)</f>
        <v>200000</v>
      </c>
      <c r="G52" s="32">
        <f>F52*(1+G$51)</f>
        <v>210000</v>
      </c>
      <c r="H52" s="32">
        <f t="shared" ref="H52:M52" si="2">G52*(1+H51)</f>
        <v>220500</v>
      </c>
      <c r="I52" s="32">
        <f t="shared" si="2"/>
        <v>231525</v>
      </c>
      <c r="J52" s="32">
        <f t="shared" si="2"/>
        <v>243101.25</v>
      </c>
      <c r="K52" s="32">
        <f t="shared" si="2"/>
        <v>255256.3125</v>
      </c>
      <c r="L52" s="32">
        <f t="shared" si="2"/>
        <v>268019.128125</v>
      </c>
      <c r="M52" s="32">
        <f t="shared" si="2"/>
        <v>281420.08453125</v>
      </c>
    </row>
    <row r="53" s="3" customFormat="1" ht="26" customHeight="1" spans="3:13">
      <c r="C53" s="31" t="s">
        <v>339</v>
      </c>
      <c r="D53" s="32">
        <f>'2. Control Panel'!$L27*(1+$D$51)</f>
        <v>180000</v>
      </c>
      <c r="E53" s="32">
        <f>'2. Control Panel'!$L27*(1+$D$51)</f>
        <v>180000</v>
      </c>
      <c r="F53" s="32">
        <f>'2. Control Panel'!$L27*(1+$D$51)</f>
        <v>180000</v>
      </c>
      <c r="G53" s="32">
        <f>F53*(1+G$51)</f>
        <v>189000</v>
      </c>
      <c r="H53" s="32">
        <f t="shared" ref="H53:M53" si="3">G53*(1+H$51)</f>
        <v>198450</v>
      </c>
      <c r="I53" s="32">
        <f t="shared" si="3"/>
        <v>208372.5</v>
      </c>
      <c r="J53" s="32">
        <f t="shared" si="3"/>
        <v>218791.125</v>
      </c>
      <c r="K53" s="32">
        <f t="shared" si="3"/>
        <v>229730.68125</v>
      </c>
      <c r="L53" s="32">
        <f t="shared" si="3"/>
        <v>241217.2153125</v>
      </c>
      <c r="M53" s="32">
        <f t="shared" si="3"/>
        <v>253278.076078125</v>
      </c>
    </row>
    <row r="54" s="3" customFormat="1" ht="26" customHeight="1" spans="3:13">
      <c r="C54" s="31" t="s">
        <v>340</v>
      </c>
      <c r="D54" s="32">
        <f>'2. Control Panel'!$L28*(1+$D$51)</f>
        <v>160000</v>
      </c>
      <c r="E54" s="32">
        <f>'2. Control Panel'!$L28*(1+$D$51)</f>
        <v>160000</v>
      </c>
      <c r="F54" s="32">
        <f>'2. Control Panel'!$L28*(1+$D$51)</f>
        <v>160000</v>
      </c>
      <c r="G54" s="32">
        <f t="shared" ref="G54:M56" si="4">F54*(1+G$51)</f>
        <v>168000</v>
      </c>
      <c r="H54" s="32">
        <f t="shared" si="4"/>
        <v>176400</v>
      </c>
      <c r="I54" s="32">
        <f t="shared" si="4"/>
        <v>185220</v>
      </c>
      <c r="J54" s="32">
        <f t="shared" si="4"/>
        <v>194481</v>
      </c>
      <c r="K54" s="32">
        <f t="shared" si="4"/>
        <v>204205.05</v>
      </c>
      <c r="L54" s="32">
        <f t="shared" si="4"/>
        <v>214415.3025</v>
      </c>
      <c r="M54" s="32">
        <f t="shared" si="4"/>
        <v>225136.067625</v>
      </c>
    </row>
    <row r="55" s="3" customFormat="1" ht="38" customHeight="1" spans="3:13">
      <c r="C55" s="31" t="s">
        <v>341</v>
      </c>
      <c r="D55" s="32">
        <f>'2. Control Panel'!$L29*(1+$D$51)</f>
        <v>140000</v>
      </c>
      <c r="E55" s="32">
        <f>'2. Control Panel'!$L29*(1+$D$51)</f>
        <v>140000</v>
      </c>
      <c r="F55" s="32">
        <f>'2. Control Panel'!$L29*(1+$D$51)</f>
        <v>140000</v>
      </c>
      <c r="G55" s="32">
        <f t="shared" si="4"/>
        <v>147000</v>
      </c>
      <c r="H55" s="32">
        <f t="shared" si="4"/>
        <v>154350</v>
      </c>
      <c r="I55" s="32">
        <f t="shared" si="4"/>
        <v>162067.5</v>
      </c>
      <c r="J55" s="32">
        <f t="shared" si="4"/>
        <v>170170.875</v>
      </c>
      <c r="K55" s="32">
        <f t="shared" si="4"/>
        <v>178679.41875</v>
      </c>
      <c r="L55" s="32">
        <f t="shared" si="4"/>
        <v>187613.3896875</v>
      </c>
      <c r="M55" s="32">
        <f t="shared" si="4"/>
        <v>196994.059171875</v>
      </c>
    </row>
    <row r="56" ht="38" customHeight="1" spans="3:13">
      <c r="C56" s="33" t="s">
        <v>342</v>
      </c>
      <c r="D56" s="34">
        <f>'2. Control Panel'!$L30*(1+$D$51)</f>
        <v>120000</v>
      </c>
      <c r="E56" s="34">
        <f>'2. Control Panel'!$L30*(1+$D$51)</f>
        <v>120000</v>
      </c>
      <c r="F56" s="34">
        <f>'2. Control Panel'!$L30*(1+$D$51)</f>
        <v>120000</v>
      </c>
      <c r="G56" s="34">
        <f t="shared" si="4"/>
        <v>126000</v>
      </c>
      <c r="H56" s="34">
        <f t="shared" si="4"/>
        <v>132300</v>
      </c>
      <c r="I56" s="34">
        <f t="shared" si="4"/>
        <v>138915</v>
      </c>
      <c r="J56" s="34">
        <f t="shared" si="4"/>
        <v>145860.75</v>
      </c>
      <c r="K56" s="34">
        <f t="shared" si="4"/>
        <v>153153.7875</v>
      </c>
      <c r="L56" s="34">
        <f t="shared" si="4"/>
        <v>160811.476875</v>
      </c>
      <c r="M56" s="34">
        <f t="shared" si="4"/>
        <v>168852.05071875</v>
      </c>
    </row>
    <row r="57" ht="26" customHeight="1" spans="3:13">
      <c r="C57" s="35" t="s">
        <v>325</v>
      </c>
      <c r="D57" s="36">
        <f>(D46*D52)+(D47*D53)+(D48*D54)+(D49*D55)+(D50*D56)</f>
        <v>0</v>
      </c>
      <c r="E57" s="36">
        <f t="shared" ref="E57:M57" si="5">(E46*E52)+(E47*E53)+(E48*E54)+(E49*E55)+(E50*E56)</f>
        <v>3000000</v>
      </c>
      <c r="F57" s="36">
        <f t="shared" si="5"/>
        <v>9000000</v>
      </c>
      <c r="G57" s="36">
        <f t="shared" si="5"/>
        <v>14175000</v>
      </c>
      <c r="H57" s="36">
        <f t="shared" si="5"/>
        <v>22325625</v>
      </c>
      <c r="I57" s="36">
        <f t="shared" si="5"/>
        <v>37507050</v>
      </c>
      <c r="J57" s="36">
        <f t="shared" si="5"/>
        <v>61256652.975</v>
      </c>
      <c r="K57" s="36">
        <f t="shared" si="5"/>
        <v>97782567.16725</v>
      </c>
      <c r="L57" s="36">
        <f t="shared" si="5"/>
        <v>144262903.82805</v>
      </c>
      <c r="M57" s="36">
        <f t="shared" si="5"/>
        <v>212749081.184273</v>
      </c>
    </row>
    <row r="58" spans="6:7">
      <c r="F58" s="5"/>
      <c r="G58" s="4"/>
    </row>
    <row r="59" spans="6:7">
      <c r="F59" s="5"/>
      <c r="G59" s="4"/>
    </row>
    <row r="60" ht="18" spans="3:14">
      <c r="C60" s="37" t="s">
        <v>343</v>
      </c>
      <c r="D60" s="3"/>
      <c r="E60" s="3"/>
      <c r="F60" s="3"/>
      <c r="G60" s="38"/>
      <c r="H60" s="3"/>
      <c r="I60" s="3"/>
      <c r="J60" s="3"/>
      <c r="K60" s="3"/>
      <c r="L60" s="3"/>
      <c r="M60" s="3"/>
      <c r="N60" s="3"/>
    </row>
    <row r="61" spans="3:14">
      <c r="C61" s="38"/>
      <c r="D61" s="3"/>
      <c r="E61" s="3"/>
      <c r="F61" s="3"/>
      <c r="G61" s="38"/>
      <c r="H61" s="3"/>
      <c r="I61" s="3"/>
      <c r="J61" s="3"/>
      <c r="K61" s="3"/>
      <c r="L61" s="3"/>
      <c r="M61" s="3"/>
      <c r="N61" s="3"/>
    </row>
    <row r="62" spans="3:14">
      <c r="C62" s="19"/>
      <c r="D62" s="20">
        <v>2026</v>
      </c>
      <c r="E62" s="20">
        <v>2027</v>
      </c>
      <c r="F62" s="20">
        <v>2028</v>
      </c>
      <c r="G62" s="20">
        <v>2029</v>
      </c>
      <c r="H62" s="20">
        <v>2030</v>
      </c>
      <c r="I62" s="20">
        <v>2031</v>
      </c>
      <c r="J62" s="20">
        <v>2032</v>
      </c>
      <c r="K62" s="20">
        <v>2033</v>
      </c>
      <c r="L62" s="20">
        <v>2034</v>
      </c>
      <c r="M62" s="20">
        <v>2035</v>
      </c>
      <c r="N62" s="3"/>
    </row>
    <row r="63" ht="25" customHeight="1" spans="3:14">
      <c r="C63" s="21" t="s">
        <v>344</v>
      </c>
      <c r="D63" s="22" t="s">
        <v>329</v>
      </c>
      <c r="E63" s="44">
        <f>'2. Control Panel'!$L$12</f>
        <v>0.1</v>
      </c>
      <c r="F63" s="44">
        <f>'2. Control Panel'!$L$12</f>
        <v>0.1</v>
      </c>
      <c r="G63" s="44">
        <f>'2. Control Panel'!$L$12</f>
        <v>0.1</v>
      </c>
      <c r="H63" s="44">
        <f>'2. Control Panel'!$L$12</f>
        <v>0.1</v>
      </c>
      <c r="I63" s="44">
        <f>'2. Control Panel'!$L$12</f>
        <v>0.1</v>
      </c>
      <c r="J63" s="44">
        <f>'2. Control Panel'!$L$12</f>
        <v>0.1</v>
      </c>
      <c r="K63" s="44">
        <f>'2. Control Panel'!$L$12</f>
        <v>0.1</v>
      </c>
      <c r="L63" s="44">
        <f>'2. Control Panel'!$L$12</f>
        <v>0.1</v>
      </c>
      <c r="M63" s="44">
        <f>'2. Control Panel'!$L$12</f>
        <v>0.1</v>
      </c>
      <c r="N63" s="3"/>
    </row>
    <row r="64" ht="25" customHeight="1" spans="3:14">
      <c r="C64" s="25" t="s">
        <v>345</v>
      </c>
      <c r="D64" s="39">
        <f>'2. Control Panel'!$L$38</f>
        <v>0</v>
      </c>
      <c r="E64" s="39">
        <f>D64*(1+E63)</f>
        <v>0</v>
      </c>
      <c r="F64" s="39">
        <f t="shared" ref="F64:H64" si="6">E64*(1+F63)</f>
        <v>0</v>
      </c>
      <c r="G64" s="39">
        <f t="shared" si="6"/>
        <v>0</v>
      </c>
      <c r="H64" s="39">
        <f t="shared" si="6"/>
        <v>0</v>
      </c>
      <c r="I64" s="45">
        <f>IF($H64=0,'2. Control Panel'!L39,H64*(1+I63))</f>
        <v>3000</v>
      </c>
      <c r="J64" s="45">
        <f>I64*(1+J63)</f>
        <v>3300</v>
      </c>
      <c r="K64" s="45">
        <f t="shared" ref="K64:M64" si="7">J64*(1+K63)</f>
        <v>3630</v>
      </c>
      <c r="L64" s="45">
        <f t="shared" si="7"/>
        <v>3993</v>
      </c>
      <c r="M64" s="45">
        <f t="shared" si="7"/>
        <v>4392.3</v>
      </c>
      <c r="N64" s="3"/>
    </row>
    <row r="65" ht="25" customHeight="1" spans="3:14">
      <c r="C65" s="21" t="s">
        <v>337</v>
      </c>
      <c r="D65" s="22">
        <f>'2. Control Panel'!$L$13</f>
        <v>0</v>
      </c>
      <c r="E65" s="22">
        <f>'2. Control Panel'!$L$13</f>
        <v>0</v>
      </c>
      <c r="F65" s="22">
        <f>'2. Control Panel'!$L$13</f>
        <v>0</v>
      </c>
      <c r="G65" s="59">
        <f>'2. Control Panel'!$L$14</f>
        <v>0.05</v>
      </c>
      <c r="H65" s="59">
        <f>'2. Control Panel'!$L$14</f>
        <v>0.05</v>
      </c>
      <c r="I65" s="59">
        <f>'2. Control Panel'!$L$14</f>
        <v>0.05</v>
      </c>
      <c r="J65" s="59">
        <f>'2. Control Panel'!$L$14</f>
        <v>0.05</v>
      </c>
      <c r="K65" s="59">
        <f>'2. Control Panel'!$L$14</f>
        <v>0.05</v>
      </c>
      <c r="L65" s="59">
        <f>'2. Control Panel'!$L$14</f>
        <v>0.05</v>
      </c>
      <c r="M65" s="59">
        <f>'2. Control Panel'!$L$14</f>
        <v>0.05</v>
      </c>
      <c r="N65" s="3"/>
    </row>
    <row r="66" ht="25" customHeight="1" spans="3:14">
      <c r="C66" s="48" t="s">
        <v>346</v>
      </c>
      <c r="D66" s="49">
        <f>'2. Control Panel'!L40</f>
        <v>50000</v>
      </c>
      <c r="E66" s="60">
        <f>D66*(1+E65)</f>
        <v>50000</v>
      </c>
      <c r="F66" s="60">
        <f t="shared" ref="F66:M66" si="8">E66*(1+F65)</f>
        <v>50000</v>
      </c>
      <c r="G66" s="60">
        <f t="shared" si="8"/>
        <v>52500</v>
      </c>
      <c r="H66" s="60">
        <f t="shared" si="8"/>
        <v>55125</v>
      </c>
      <c r="I66" s="60">
        <f t="shared" si="8"/>
        <v>57881.25</v>
      </c>
      <c r="J66" s="60">
        <f t="shared" si="8"/>
        <v>60775.3125</v>
      </c>
      <c r="K66" s="60">
        <f t="shared" si="8"/>
        <v>63814.078125</v>
      </c>
      <c r="L66" s="60">
        <f t="shared" si="8"/>
        <v>67004.78203125</v>
      </c>
      <c r="M66" s="60">
        <f t="shared" si="8"/>
        <v>70355.0211328125</v>
      </c>
      <c r="N66" s="3"/>
    </row>
    <row r="67" ht="32" customHeight="1" spans="3:14">
      <c r="C67" s="35" t="s">
        <v>325</v>
      </c>
      <c r="D67" s="36">
        <f>D64*D66</f>
        <v>0</v>
      </c>
      <c r="E67" s="36">
        <f t="shared" ref="E67:M67" si="9">E64*E66</f>
        <v>0</v>
      </c>
      <c r="F67" s="36">
        <f t="shared" si="9"/>
        <v>0</v>
      </c>
      <c r="G67" s="36">
        <f t="shared" si="9"/>
        <v>0</v>
      </c>
      <c r="H67" s="36">
        <f t="shared" si="9"/>
        <v>0</v>
      </c>
      <c r="I67" s="36">
        <f t="shared" si="9"/>
        <v>173643750</v>
      </c>
      <c r="J67" s="36">
        <f t="shared" si="9"/>
        <v>200558531.25</v>
      </c>
      <c r="K67" s="36">
        <f t="shared" si="9"/>
        <v>231645103.59375</v>
      </c>
      <c r="L67" s="36">
        <f t="shared" si="9"/>
        <v>267550094.650781</v>
      </c>
      <c r="M67" s="36">
        <f t="shared" si="9"/>
        <v>309020359.321652</v>
      </c>
      <c r="N67" s="3"/>
    </row>
    <row r="68" spans="3:14">
      <c r="C68" s="38"/>
      <c r="D68" s="3"/>
      <c r="E68" s="3"/>
      <c r="F68" s="3"/>
      <c r="G68" s="38"/>
      <c r="H68" s="3"/>
      <c r="I68" s="3"/>
      <c r="J68" s="3"/>
      <c r="K68" s="3"/>
      <c r="L68" s="3"/>
      <c r="M68" s="3"/>
      <c r="N68" s="3"/>
    </row>
    <row r="69" spans="3:14">
      <c r="C69" s="38"/>
      <c r="D69" s="3"/>
      <c r="E69" s="3"/>
      <c r="F69" s="3"/>
      <c r="G69" s="38"/>
      <c r="H69" s="3"/>
      <c r="I69" s="3"/>
      <c r="J69" s="3"/>
      <c r="K69" s="3"/>
      <c r="L69" s="3"/>
      <c r="M69" s="3"/>
      <c r="N69" s="3"/>
    </row>
    <row r="70" ht="18" spans="3:14">
      <c r="C70" s="37" t="s">
        <v>347</v>
      </c>
      <c r="D70" s="3"/>
      <c r="E70" s="3"/>
      <c r="F70" s="3"/>
      <c r="G70" s="38"/>
      <c r="H70" s="3"/>
      <c r="I70" s="3"/>
      <c r="J70" s="3"/>
      <c r="K70" s="3"/>
      <c r="L70" s="3"/>
      <c r="M70" s="3"/>
      <c r="N70" s="3"/>
    </row>
    <row r="71" spans="3:14">
      <c r="C71" s="38"/>
      <c r="D71" s="3"/>
      <c r="E71" s="3"/>
      <c r="F71" s="3"/>
      <c r="G71" s="38"/>
      <c r="H71" s="3"/>
      <c r="I71" s="3"/>
      <c r="J71" s="3"/>
      <c r="K71" s="3"/>
      <c r="L71" s="3"/>
      <c r="M71" s="3"/>
      <c r="N71" s="3"/>
    </row>
    <row r="72" spans="3:14">
      <c r="C72" s="19"/>
      <c r="D72" s="20">
        <v>2026</v>
      </c>
      <c r="E72" s="20">
        <v>2027</v>
      </c>
      <c r="F72" s="20">
        <v>2028</v>
      </c>
      <c r="G72" s="20">
        <v>2029</v>
      </c>
      <c r="H72" s="20">
        <v>2030</v>
      </c>
      <c r="I72" s="20">
        <v>2031</v>
      </c>
      <c r="J72" s="20">
        <v>2032</v>
      </c>
      <c r="K72" s="20">
        <v>2033</v>
      </c>
      <c r="L72" s="20">
        <v>2034</v>
      </c>
      <c r="M72" s="20">
        <v>2035</v>
      </c>
      <c r="N72" s="3"/>
    </row>
    <row r="73" ht="25" customHeight="1" spans="3:14">
      <c r="C73" s="21" t="s">
        <v>344</v>
      </c>
      <c r="D73" s="22" t="s">
        <v>329</v>
      </c>
      <c r="E73" s="44">
        <f>'2. Control Panel'!$L$12</f>
        <v>0.1</v>
      </c>
      <c r="F73" s="44">
        <f>'2. Control Panel'!$L$12</f>
        <v>0.1</v>
      </c>
      <c r="G73" s="44">
        <f>'2. Control Panel'!$L$12</f>
        <v>0.1</v>
      </c>
      <c r="H73" s="44">
        <f>'2. Control Panel'!$L$12</f>
        <v>0.1</v>
      </c>
      <c r="I73" s="44">
        <f>'2. Control Panel'!$L$12</f>
        <v>0.1</v>
      </c>
      <c r="J73" s="44">
        <f>'2. Control Panel'!$L$12</f>
        <v>0.1</v>
      </c>
      <c r="K73" s="44">
        <f>'2. Control Panel'!$L$12</f>
        <v>0.1</v>
      </c>
      <c r="L73" s="44">
        <f>'2. Control Panel'!$L$12</f>
        <v>0.1</v>
      </c>
      <c r="M73" s="44">
        <f>'2. Control Panel'!$L$12</f>
        <v>0.1</v>
      </c>
      <c r="N73" s="3"/>
    </row>
    <row r="74" ht="25" customHeight="1" spans="3:14">
      <c r="C74" s="25" t="s">
        <v>348</v>
      </c>
      <c r="D74" s="39">
        <f>'2. Control Panel'!$L$41</f>
        <v>0</v>
      </c>
      <c r="E74" s="39">
        <f>D74*(1+E73)</f>
        <v>0</v>
      </c>
      <c r="F74" s="39">
        <f t="shared" ref="F74:H74" si="10">E74*(1+F73)</f>
        <v>0</v>
      </c>
      <c r="G74" s="39">
        <f t="shared" si="10"/>
        <v>0</v>
      </c>
      <c r="H74" s="39">
        <f t="shared" si="10"/>
        <v>0</v>
      </c>
      <c r="I74" s="45">
        <f>IF($H64=0,'2. Control Panel'!L42,H74*(1+I73))</f>
        <v>500</v>
      </c>
      <c r="J74" s="45">
        <f>I74*(1+J73)</f>
        <v>550</v>
      </c>
      <c r="K74" s="45">
        <f t="shared" ref="K74:M74" si="11">J74*(1+K73)</f>
        <v>605</v>
      </c>
      <c r="L74" s="45">
        <f t="shared" si="11"/>
        <v>665.5</v>
      </c>
      <c r="M74" s="45">
        <f t="shared" si="11"/>
        <v>732.05</v>
      </c>
      <c r="N74" s="3"/>
    </row>
    <row r="75" ht="25" customHeight="1" spans="3:14">
      <c r="C75" s="21" t="s">
        <v>337</v>
      </c>
      <c r="D75" s="22">
        <f>'2. Control Panel'!$L$13</f>
        <v>0</v>
      </c>
      <c r="E75" s="22">
        <f>'2. Control Panel'!$L$13</f>
        <v>0</v>
      </c>
      <c r="F75" s="22">
        <f>'2. Control Panel'!$L$13</f>
        <v>0</v>
      </c>
      <c r="G75" s="59">
        <f>'2. Control Panel'!$L$14</f>
        <v>0.05</v>
      </c>
      <c r="H75" s="59">
        <f>'2. Control Panel'!$L$14</f>
        <v>0.05</v>
      </c>
      <c r="I75" s="59">
        <f>'2. Control Panel'!$L$14</f>
        <v>0.05</v>
      </c>
      <c r="J75" s="59">
        <f>'2. Control Panel'!$L$14</f>
        <v>0.05</v>
      </c>
      <c r="K75" s="59">
        <f>'2. Control Panel'!$L$14</f>
        <v>0.05</v>
      </c>
      <c r="L75" s="59">
        <f>'2. Control Panel'!$L$14</f>
        <v>0.05</v>
      </c>
      <c r="M75" s="59">
        <f>'2. Control Panel'!$L$14</f>
        <v>0.05</v>
      </c>
      <c r="N75" s="3"/>
    </row>
    <row r="76" ht="25" customHeight="1" spans="3:14">
      <c r="C76" s="48" t="s">
        <v>349</v>
      </c>
      <c r="D76" s="49">
        <f>'2. Control Panel'!L43</f>
        <v>50000</v>
      </c>
      <c r="E76" s="60">
        <f>D76*(1+E75)</f>
        <v>50000</v>
      </c>
      <c r="F76" s="60">
        <f t="shared" ref="F76:M76" si="12">E76*(1+F75)</f>
        <v>50000</v>
      </c>
      <c r="G76" s="60">
        <f t="shared" si="12"/>
        <v>52500</v>
      </c>
      <c r="H76" s="60">
        <f t="shared" si="12"/>
        <v>55125</v>
      </c>
      <c r="I76" s="60">
        <f t="shared" si="12"/>
        <v>57881.25</v>
      </c>
      <c r="J76" s="60">
        <f t="shared" si="12"/>
        <v>60775.3125</v>
      </c>
      <c r="K76" s="60">
        <f t="shared" si="12"/>
        <v>63814.078125</v>
      </c>
      <c r="L76" s="60">
        <f t="shared" si="12"/>
        <v>67004.78203125</v>
      </c>
      <c r="M76" s="60">
        <f t="shared" si="12"/>
        <v>70355.0211328125</v>
      </c>
      <c r="N76" s="3"/>
    </row>
    <row r="77" ht="25" customHeight="1" spans="3:14">
      <c r="C77" s="35" t="s">
        <v>325</v>
      </c>
      <c r="D77" s="36">
        <f>D74*D76</f>
        <v>0</v>
      </c>
      <c r="E77" s="36">
        <f t="shared" ref="E77:M77" si="13">E74*E76</f>
        <v>0</v>
      </c>
      <c r="F77" s="36">
        <f t="shared" si="13"/>
        <v>0</v>
      </c>
      <c r="G77" s="36">
        <f t="shared" si="13"/>
        <v>0</v>
      </c>
      <c r="H77" s="36">
        <f t="shared" si="13"/>
        <v>0</v>
      </c>
      <c r="I77" s="36">
        <f t="shared" si="13"/>
        <v>28940625</v>
      </c>
      <c r="J77" s="36">
        <f t="shared" si="13"/>
        <v>33426421.875</v>
      </c>
      <c r="K77" s="36">
        <f t="shared" si="13"/>
        <v>38607517.265625</v>
      </c>
      <c r="L77" s="36">
        <f t="shared" si="13"/>
        <v>44591682.4417969</v>
      </c>
      <c r="M77" s="36">
        <f t="shared" si="13"/>
        <v>51503393.2202754</v>
      </c>
      <c r="N77" s="3"/>
    </row>
    <row r="78" spans="3:14">
      <c r="C78" s="38"/>
      <c r="D78" s="3"/>
      <c r="E78" s="3"/>
      <c r="F78" s="3"/>
      <c r="G78" s="38"/>
      <c r="H78" s="3"/>
      <c r="I78" s="3"/>
      <c r="J78" s="3"/>
      <c r="K78" s="3"/>
      <c r="L78" s="3"/>
      <c r="M78" s="3"/>
      <c r="N78" s="3"/>
    </row>
    <row r="79" spans="3:14">
      <c r="C79" s="38"/>
      <c r="D79" s="3"/>
      <c r="E79" s="3"/>
      <c r="F79" s="3"/>
      <c r="G79" s="38"/>
      <c r="H79" s="3"/>
      <c r="I79" s="3"/>
      <c r="J79" s="3"/>
      <c r="K79" s="3"/>
      <c r="L79" s="3"/>
      <c r="M79" s="3"/>
      <c r="N79" s="3"/>
    </row>
    <row r="80" ht="18" spans="3:14">
      <c r="C80" s="37" t="s">
        <v>350</v>
      </c>
      <c r="D80" s="3"/>
      <c r="E80" s="3"/>
      <c r="F80" s="3"/>
      <c r="G80" s="38"/>
      <c r="H80" s="3"/>
      <c r="I80" s="3"/>
      <c r="J80" s="3"/>
      <c r="K80" s="3"/>
      <c r="L80" s="3"/>
      <c r="M80" s="3"/>
      <c r="N80" s="3"/>
    </row>
    <row r="81" spans="3:14">
      <c r="C81" s="38"/>
      <c r="D81" s="3"/>
      <c r="E81" s="3"/>
      <c r="F81" s="3"/>
      <c r="G81" s="38"/>
      <c r="H81" s="3"/>
      <c r="I81" s="3"/>
      <c r="J81" s="3"/>
      <c r="K81" s="3"/>
      <c r="L81" s="3"/>
      <c r="M81" s="3"/>
      <c r="N81" s="3"/>
    </row>
    <row r="82" spans="3:14">
      <c r="C82" s="19"/>
      <c r="D82" s="20">
        <v>2026</v>
      </c>
      <c r="E82" s="20">
        <v>2027</v>
      </c>
      <c r="F82" s="20">
        <v>2028</v>
      </c>
      <c r="G82" s="20">
        <v>2029</v>
      </c>
      <c r="H82" s="20">
        <v>2030</v>
      </c>
      <c r="I82" s="20">
        <v>2031</v>
      </c>
      <c r="J82" s="20">
        <v>2032</v>
      </c>
      <c r="K82" s="20">
        <v>2033</v>
      </c>
      <c r="L82" s="20">
        <v>2034</v>
      </c>
      <c r="M82" s="20">
        <v>2035</v>
      </c>
      <c r="N82" s="3"/>
    </row>
    <row r="83" ht="26" customHeight="1" spans="3:14">
      <c r="C83" s="21" t="s">
        <v>344</v>
      </c>
      <c r="D83" s="22" t="s">
        <v>329</v>
      </c>
      <c r="E83" s="44">
        <f>'2. Control Panel'!$L$12</f>
        <v>0.1</v>
      </c>
      <c r="F83" s="44">
        <f>'2. Control Panel'!$L$12</f>
        <v>0.1</v>
      </c>
      <c r="G83" s="44">
        <f>'2. Control Panel'!$L$12</f>
        <v>0.1</v>
      </c>
      <c r="H83" s="44">
        <f>'2. Control Panel'!$L$12</f>
        <v>0.1</v>
      </c>
      <c r="I83" s="44">
        <f>'2. Control Panel'!$L$12</f>
        <v>0.1</v>
      </c>
      <c r="J83" s="44">
        <f>'2. Control Panel'!$L$12</f>
        <v>0.1</v>
      </c>
      <c r="K83" s="44">
        <f>'2. Control Panel'!$L$12</f>
        <v>0.1</v>
      </c>
      <c r="L83" s="44">
        <f>'2. Control Panel'!$L$12</f>
        <v>0.1</v>
      </c>
      <c r="M83" s="44">
        <f>'2. Control Panel'!$L$12</f>
        <v>0.1</v>
      </c>
      <c r="N83" s="3"/>
    </row>
    <row r="84" ht="26" customHeight="1" spans="3:14">
      <c r="C84" s="25" t="s">
        <v>351</v>
      </c>
      <c r="D84" s="39">
        <f>'2. Control Panel'!$L$44</f>
        <v>0</v>
      </c>
      <c r="E84" s="39">
        <f>D84*(1+E83)</f>
        <v>0</v>
      </c>
      <c r="F84" s="39">
        <f t="shared" ref="F84:H84" si="14">E84*(1+F83)</f>
        <v>0</v>
      </c>
      <c r="G84" s="39">
        <f t="shared" si="14"/>
        <v>0</v>
      </c>
      <c r="H84" s="39">
        <f t="shared" si="14"/>
        <v>0</v>
      </c>
      <c r="I84" s="45">
        <f>IF($H84=0,'2. Control Panel'!L45,H84*(1+I83))</f>
        <v>500</v>
      </c>
      <c r="J84" s="45">
        <f>I84*(1+J83)</f>
        <v>550</v>
      </c>
      <c r="K84" s="45">
        <f t="shared" ref="K84:M84" si="15">J84*(1+K83)</f>
        <v>605</v>
      </c>
      <c r="L84" s="45">
        <f t="shared" si="15"/>
        <v>665.5</v>
      </c>
      <c r="M84" s="45">
        <f t="shared" si="15"/>
        <v>732.05</v>
      </c>
      <c r="N84" s="3"/>
    </row>
    <row r="85" ht="26" customHeight="1" spans="3:14">
      <c r="C85" s="21" t="s">
        <v>337</v>
      </c>
      <c r="D85" s="22">
        <f>'2. Control Panel'!$L$13</f>
        <v>0</v>
      </c>
      <c r="E85" s="22">
        <f>'2. Control Panel'!$L$13</f>
        <v>0</v>
      </c>
      <c r="F85" s="22">
        <f>'2. Control Panel'!$L$13</f>
        <v>0</v>
      </c>
      <c r="G85" s="59">
        <f>'2. Control Panel'!$L$14</f>
        <v>0.05</v>
      </c>
      <c r="H85" s="59">
        <f>'2. Control Panel'!$L$14</f>
        <v>0.05</v>
      </c>
      <c r="I85" s="59">
        <f>'2. Control Panel'!$L$14</f>
        <v>0.05</v>
      </c>
      <c r="J85" s="59">
        <f>'2. Control Panel'!$L$14</f>
        <v>0.05</v>
      </c>
      <c r="K85" s="59">
        <f>'2. Control Panel'!$L$14</f>
        <v>0.05</v>
      </c>
      <c r="L85" s="59">
        <f>'2. Control Panel'!$L$14</f>
        <v>0.05</v>
      </c>
      <c r="M85" s="59">
        <f>'2. Control Panel'!$L$14</f>
        <v>0.05</v>
      </c>
      <c r="N85" s="3"/>
    </row>
    <row r="86" ht="26" customHeight="1" spans="3:14">
      <c r="C86" s="48" t="s">
        <v>352</v>
      </c>
      <c r="D86" s="49">
        <f>'2. Control Panel'!L46</f>
        <v>100000</v>
      </c>
      <c r="E86" s="60">
        <f>D86*(1+E85)</f>
        <v>100000</v>
      </c>
      <c r="F86" s="60">
        <f t="shared" ref="F86:M86" si="16">E86*(1+F85)</f>
        <v>100000</v>
      </c>
      <c r="G86" s="60">
        <f t="shared" si="16"/>
        <v>105000</v>
      </c>
      <c r="H86" s="60">
        <f t="shared" si="16"/>
        <v>110250</v>
      </c>
      <c r="I86" s="60">
        <f t="shared" si="16"/>
        <v>115762.5</v>
      </c>
      <c r="J86" s="60">
        <f t="shared" si="16"/>
        <v>121550.625</v>
      </c>
      <c r="K86" s="60">
        <f t="shared" si="16"/>
        <v>127628.15625</v>
      </c>
      <c r="L86" s="60">
        <f t="shared" si="16"/>
        <v>134009.5640625</v>
      </c>
      <c r="M86" s="60">
        <f t="shared" si="16"/>
        <v>140710.042265625</v>
      </c>
      <c r="N86" s="3"/>
    </row>
    <row r="87" ht="26" customHeight="1" spans="3:14">
      <c r="C87" s="35" t="s">
        <v>325</v>
      </c>
      <c r="D87" s="36">
        <f>D84*D86</f>
        <v>0</v>
      </c>
      <c r="E87" s="36">
        <f t="shared" ref="E87:M87" si="17">E84*E86</f>
        <v>0</v>
      </c>
      <c r="F87" s="36">
        <f t="shared" si="17"/>
        <v>0</v>
      </c>
      <c r="G87" s="36">
        <f t="shared" si="17"/>
        <v>0</v>
      </c>
      <c r="H87" s="36">
        <f t="shared" si="17"/>
        <v>0</v>
      </c>
      <c r="I87" s="36">
        <f t="shared" si="17"/>
        <v>57881250</v>
      </c>
      <c r="J87" s="36">
        <f t="shared" si="17"/>
        <v>66852843.75</v>
      </c>
      <c r="K87" s="36">
        <f t="shared" si="17"/>
        <v>77215034.53125</v>
      </c>
      <c r="L87" s="36">
        <f t="shared" si="17"/>
        <v>89183364.8835938</v>
      </c>
      <c r="M87" s="36">
        <f t="shared" si="17"/>
        <v>103006786.440551</v>
      </c>
      <c r="N87" s="3"/>
    </row>
    <row r="88" spans="3:14">
      <c r="C88" s="38"/>
      <c r="D88" s="3"/>
      <c r="E88" s="3"/>
      <c r="F88" s="3"/>
      <c r="G88" s="38"/>
      <c r="H88" s="3"/>
      <c r="I88" s="3"/>
      <c r="J88" s="3"/>
      <c r="K88" s="3"/>
      <c r="L88" s="3"/>
      <c r="M88" s="3"/>
      <c r="N88" s="3"/>
    </row>
    <row r="89" spans="3:14">
      <c r="C89" s="38"/>
      <c r="D89" s="3"/>
      <c r="E89" s="3"/>
      <c r="F89" s="3"/>
      <c r="G89" s="38"/>
      <c r="H89" s="3"/>
      <c r="I89" s="3"/>
      <c r="J89" s="3"/>
      <c r="K89" s="3"/>
      <c r="L89" s="3"/>
      <c r="M89" s="3"/>
      <c r="N89" s="3"/>
    </row>
    <row r="90" ht="18" spans="3:14">
      <c r="C90" s="37" t="s">
        <v>353</v>
      </c>
      <c r="D90" s="3"/>
      <c r="E90" s="3"/>
      <c r="F90" s="3"/>
      <c r="G90" s="38"/>
      <c r="H90" s="3"/>
      <c r="I90" s="3"/>
      <c r="J90" s="3"/>
      <c r="K90" s="3"/>
      <c r="L90" s="3"/>
      <c r="M90" s="3"/>
      <c r="N90" s="3"/>
    </row>
    <row r="91" spans="3:14">
      <c r="C91" s="38"/>
      <c r="D91" s="3"/>
      <c r="E91" s="3"/>
      <c r="F91" s="3"/>
      <c r="G91" s="38"/>
      <c r="H91" s="3"/>
      <c r="I91" s="3"/>
      <c r="J91" s="3"/>
      <c r="K91" s="3"/>
      <c r="L91" s="3"/>
      <c r="M91" s="3"/>
      <c r="N91" s="3"/>
    </row>
    <row r="92" spans="3:14">
      <c r="C92" s="19"/>
      <c r="D92" s="20">
        <v>2026</v>
      </c>
      <c r="E92" s="20">
        <v>2027</v>
      </c>
      <c r="F92" s="20">
        <v>2028</v>
      </c>
      <c r="G92" s="20">
        <v>2029</v>
      </c>
      <c r="H92" s="20">
        <v>2030</v>
      </c>
      <c r="I92" s="20">
        <v>2031</v>
      </c>
      <c r="J92" s="20">
        <v>2032</v>
      </c>
      <c r="K92" s="20">
        <v>2033</v>
      </c>
      <c r="L92" s="20">
        <v>2034</v>
      </c>
      <c r="M92" s="20">
        <v>2035</v>
      </c>
      <c r="N92" s="3"/>
    </row>
    <row r="93" ht="26" customHeight="1" spans="3:14">
      <c r="C93" s="21" t="s">
        <v>344</v>
      </c>
      <c r="D93" s="22" t="s">
        <v>329</v>
      </c>
      <c r="E93" s="44">
        <f>'2. Control Panel'!$L$12</f>
        <v>0.1</v>
      </c>
      <c r="F93" s="44">
        <f>'2. Control Panel'!$L$12</f>
        <v>0.1</v>
      </c>
      <c r="G93" s="44">
        <f>'2. Control Panel'!$L$12</f>
        <v>0.1</v>
      </c>
      <c r="H93" s="44">
        <f>'2. Control Panel'!$L$12</f>
        <v>0.1</v>
      </c>
      <c r="I93" s="44">
        <f>'2. Control Panel'!$L$12</f>
        <v>0.1</v>
      </c>
      <c r="J93" s="44">
        <f>'2. Control Panel'!$L$12</f>
        <v>0.1</v>
      </c>
      <c r="K93" s="44">
        <f>'2. Control Panel'!$L$12</f>
        <v>0.1</v>
      </c>
      <c r="L93" s="44">
        <f>'2. Control Panel'!$L$12</f>
        <v>0.1</v>
      </c>
      <c r="M93" s="44">
        <f>'2. Control Panel'!$L$12</f>
        <v>0.1</v>
      </c>
      <c r="N93" s="3"/>
    </row>
    <row r="94" ht="26" customHeight="1" spans="3:14">
      <c r="C94" s="25" t="s">
        <v>354</v>
      </c>
      <c r="D94" s="39">
        <f>'2. Control Panel'!$L$47</f>
        <v>0</v>
      </c>
      <c r="E94" s="39">
        <f>D94*(1+E93)</f>
        <v>0</v>
      </c>
      <c r="F94" s="39">
        <f t="shared" ref="F94:H94" si="18">E94*(1+F93)</f>
        <v>0</v>
      </c>
      <c r="G94" s="39">
        <f t="shared" si="18"/>
        <v>0</v>
      </c>
      <c r="H94" s="39">
        <f t="shared" si="18"/>
        <v>0</v>
      </c>
      <c r="I94" s="45">
        <f>IF($H94=0,'2. Control Panel'!L48,H94*(1+I93))</f>
        <v>50</v>
      </c>
      <c r="J94" s="45">
        <f>I94*(1+J93)</f>
        <v>55</v>
      </c>
      <c r="K94" s="45">
        <f t="shared" ref="K94:M94" si="19">J94*(1+K93)</f>
        <v>60.5</v>
      </c>
      <c r="L94" s="45">
        <f t="shared" si="19"/>
        <v>66.55</v>
      </c>
      <c r="M94" s="45">
        <f t="shared" si="19"/>
        <v>73.205</v>
      </c>
      <c r="N94" s="3"/>
    </row>
    <row r="95" ht="26" customHeight="1" spans="3:14">
      <c r="C95" s="21" t="s">
        <v>337</v>
      </c>
      <c r="D95" s="22">
        <f>'2. Control Panel'!$L$13</f>
        <v>0</v>
      </c>
      <c r="E95" s="22">
        <f>'2. Control Panel'!$L$13</f>
        <v>0</v>
      </c>
      <c r="F95" s="22">
        <f>'2. Control Panel'!$L$13</f>
        <v>0</v>
      </c>
      <c r="G95" s="59">
        <f>'2. Control Panel'!$L$14</f>
        <v>0.05</v>
      </c>
      <c r="H95" s="59">
        <f>'2. Control Panel'!$L$14</f>
        <v>0.05</v>
      </c>
      <c r="I95" s="59">
        <f>'2. Control Panel'!$L$14</f>
        <v>0.05</v>
      </c>
      <c r="J95" s="59">
        <f>'2. Control Panel'!$L$14</f>
        <v>0.05</v>
      </c>
      <c r="K95" s="59">
        <f>'2. Control Panel'!$L$14</f>
        <v>0.05</v>
      </c>
      <c r="L95" s="59">
        <f>'2. Control Panel'!$L$14</f>
        <v>0.05</v>
      </c>
      <c r="M95" s="59">
        <f>'2. Control Panel'!$L$14</f>
        <v>0.05</v>
      </c>
      <c r="N95" s="3"/>
    </row>
    <row r="96" ht="26" customHeight="1" spans="3:14">
      <c r="C96" s="48" t="s">
        <v>355</v>
      </c>
      <c r="D96" s="49">
        <f>'2. Control Panel'!L49</f>
        <v>10000</v>
      </c>
      <c r="E96" s="60">
        <f>D96*(1+E95)</f>
        <v>10000</v>
      </c>
      <c r="F96" s="60">
        <f t="shared" ref="F96:M96" si="20">E96*(1+F95)</f>
        <v>10000</v>
      </c>
      <c r="G96" s="60">
        <f t="shared" si="20"/>
        <v>10500</v>
      </c>
      <c r="H96" s="60">
        <f t="shared" si="20"/>
        <v>11025</v>
      </c>
      <c r="I96" s="60">
        <f t="shared" si="20"/>
        <v>11576.25</v>
      </c>
      <c r="J96" s="60">
        <f t="shared" si="20"/>
        <v>12155.0625</v>
      </c>
      <c r="K96" s="60">
        <f t="shared" si="20"/>
        <v>12762.815625</v>
      </c>
      <c r="L96" s="60">
        <f t="shared" si="20"/>
        <v>13400.95640625</v>
      </c>
      <c r="M96" s="60">
        <f t="shared" si="20"/>
        <v>14071.0042265625</v>
      </c>
      <c r="N96" s="3"/>
    </row>
    <row r="97" ht="26" customHeight="1" spans="3:14">
      <c r="C97" s="35" t="s">
        <v>325</v>
      </c>
      <c r="D97" s="36">
        <f>D94*D96</f>
        <v>0</v>
      </c>
      <c r="E97" s="36">
        <f t="shared" ref="E97:M97" si="21">E94*E96</f>
        <v>0</v>
      </c>
      <c r="F97" s="36">
        <f t="shared" si="21"/>
        <v>0</v>
      </c>
      <c r="G97" s="36">
        <f t="shared" si="21"/>
        <v>0</v>
      </c>
      <c r="H97" s="36">
        <f t="shared" si="21"/>
        <v>0</v>
      </c>
      <c r="I97" s="36">
        <f t="shared" si="21"/>
        <v>578812.5</v>
      </c>
      <c r="J97" s="36">
        <f t="shared" si="21"/>
        <v>668528.4375</v>
      </c>
      <c r="K97" s="36">
        <f t="shared" si="21"/>
        <v>772150.3453125</v>
      </c>
      <c r="L97" s="36">
        <f t="shared" si="21"/>
        <v>891833.648835938</v>
      </c>
      <c r="M97" s="36">
        <f t="shared" si="21"/>
        <v>1030067.86440551</v>
      </c>
      <c r="N97" s="3"/>
    </row>
    <row r="98" spans="3:14">
      <c r="C98" s="38"/>
      <c r="D98" s="3"/>
      <c r="E98" s="3"/>
      <c r="F98" s="3"/>
      <c r="G98" s="38"/>
      <c r="H98" s="3"/>
      <c r="I98" s="3"/>
      <c r="J98" s="3"/>
      <c r="K98" s="3"/>
      <c r="L98" s="3"/>
      <c r="M98" s="3"/>
      <c r="N98" s="3"/>
    </row>
    <row r="99" spans="3:14">
      <c r="C99" s="38"/>
      <c r="D99" s="3"/>
      <c r="E99" s="3"/>
      <c r="F99" s="3"/>
      <c r="G99" s="38"/>
      <c r="H99" s="3"/>
      <c r="I99" s="3"/>
      <c r="J99" s="3"/>
      <c r="K99" s="3"/>
      <c r="L99" s="3"/>
      <c r="M99" s="3"/>
      <c r="N99" s="3"/>
    </row>
    <row r="100" ht="18" spans="3:14">
      <c r="C100" s="37" t="s">
        <v>356</v>
      </c>
      <c r="D100" s="3"/>
      <c r="E100" s="3"/>
      <c r="F100" s="3"/>
      <c r="G100" s="38"/>
      <c r="H100" s="3"/>
      <c r="I100" s="3"/>
      <c r="J100" s="3"/>
      <c r="K100" s="3"/>
      <c r="L100" s="3"/>
      <c r="M100" s="3"/>
      <c r="N100" s="3"/>
    </row>
    <row r="101" spans="3:14">
      <c r="C101" s="38"/>
      <c r="D101" s="3"/>
      <c r="E101" s="3"/>
      <c r="F101" s="3"/>
      <c r="G101" s="38"/>
      <c r="H101" s="3"/>
      <c r="I101" s="3"/>
      <c r="J101" s="3"/>
      <c r="K101" s="3"/>
      <c r="L101" s="3"/>
      <c r="M101" s="3"/>
      <c r="N101" s="3"/>
    </row>
    <row r="102" spans="3:14">
      <c r="C102" s="19"/>
      <c r="D102" s="20">
        <v>2026</v>
      </c>
      <c r="E102" s="20">
        <v>2027</v>
      </c>
      <c r="F102" s="20">
        <v>2028</v>
      </c>
      <c r="G102" s="20">
        <v>2029</v>
      </c>
      <c r="H102" s="20">
        <v>2030</v>
      </c>
      <c r="I102" s="20">
        <v>2031</v>
      </c>
      <c r="J102" s="20">
        <v>2032</v>
      </c>
      <c r="K102" s="20">
        <v>2033</v>
      </c>
      <c r="L102" s="20">
        <v>2034</v>
      </c>
      <c r="M102" s="20">
        <v>2035</v>
      </c>
      <c r="N102" s="3"/>
    </row>
    <row r="103" ht="30" customHeight="1" spans="3:14">
      <c r="C103" s="21" t="s">
        <v>344</v>
      </c>
      <c r="D103" s="22" t="s">
        <v>329</v>
      </c>
      <c r="E103" s="44">
        <f>'2. Control Panel'!$L$12</f>
        <v>0.1</v>
      </c>
      <c r="F103" s="44">
        <f>'2. Control Panel'!$L$12</f>
        <v>0.1</v>
      </c>
      <c r="G103" s="44">
        <f>'2. Control Panel'!$L$12</f>
        <v>0.1</v>
      </c>
      <c r="H103" s="44">
        <f>'2. Control Panel'!$L$12</f>
        <v>0.1</v>
      </c>
      <c r="I103" s="44">
        <f>'2. Control Panel'!$L$12</f>
        <v>0.1</v>
      </c>
      <c r="J103" s="44">
        <f>'2. Control Panel'!$L$12</f>
        <v>0.1</v>
      </c>
      <c r="K103" s="44">
        <f>'2. Control Panel'!$L$12</f>
        <v>0.1</v>
      </c>
      <c r="L103" s="44">
        <f>'2. Control Panel'!$L$12</f>
        <v>0.1</v>
      </c>
      <c r="M103" s="44">
        <f>'2. Control Panel'!$L$12</f>
        <v>0.1</v>
      </c>
      <c r="N103" s="3"/>
    </row>
    <row r="104" ht="30" customHeight="1" spans="3:14">
      <c r="C104" s="25" t="s">
        <v>357</v>
      </c>
      <c r="D104" s="39">
        <f>'2. Control Panel'!L50</f>
        <v>0</v>
      </c>
      <c r="E104" s="61">
        <f>D104*(1+E103)</f>
        <v>0</v>
      </c>
      <c r="F104" s="61">
        <f t="shared" ref="F104:H104" si="22">E104*(1+F103)</f>
        <v>0</v>
      </c>
      <c r="G104" s="61">
        <f t="shared" si="22"/>
        <v>0</v>
      </c>
      <c r="H104" s="61">
        <f t="shared" si="22"/>
        <v>0</v>
      </c>
      <c r="I104" s="45">
        <f>IF($H104=0,'2. Control Panel'!L51,H104*(1+I103))</f>
        <v>10</v>
      </c>
      <c r="J104" s="45">
        <f>I104*(1+J103)</f>
        <v>11</v>
      </c>
      <c r="K104" s="45">
        <f t="shared" ref="K104:M104" si="23">J104*(1+K103)</f>
        <v>12.1</v>
      </c>
      <c r="L104" s="45">
        <f t="shared" si="23"/>
        <v>13.31</v>
      </c>
      <c r="M104" s="45">
        <f t="shared" si="23"/>
        <v>14.641</v>
      </c>
      <c r="N104" s="3"/>
    </row>
    <row r="105" ht="30" customHeight="1" spans="3:14">
      <c r="C105" s="21" t="s">
        <v>337</v>
      </c>
      <c r="D105" s="22">
        <f>'2. Control Panel'!$L$13</f>
        <v>0</v>
      </c>
      <c r="E105" s="22">
        <f>'2. Control Panel'!$L$13</f>
        <v>0</v>
      </c>
      <c r="F105" s="22">
        <f>'2. Control Panel'!$L$13</f>
        <v>0</v>
      </c>
      <c r="G105" s="59">
        <f>'2. Control Panel'!$L$14</f>
        <v>0.05</v>
      </c>
      <c r="H105" s="59">
        <f>'2. Control Panel'!$L$14</f>
        <v>0.05</v>
      </c>
      <c r="I105" s="59">
        <f>'2. Control Panel'!$L$14</f>
        <v>0.05</v>
      </c>
      <c r="J105" s="59">
        <f>'2. Control Panel'!$L$14</f>
        <v>0.05</v>
      </c>
      <c r="K105" s="59">
        <f>'2. Control Panel'!$L$14</f>
        <v>0.05</v>
      </c>
      <c r="L105" s="59">
        <f>'2. Control Panel'!$L$14</f>
        <v>0.05</v>
      </c>
      <c r="M105" s="59">
        <f>'2. Control Panel'!$L$14</f>
        <v>0.05</v>
      </c>
      <c r="N105" s="3"/>
    </row>
    <row r="106" ht="30" customHeight="1" spans="3:14">
      <c r="C106" s="48" t="s">
        <v>358</v>
      </c>
      <c r="D106" s="49">
        <f>'2. Control Panel'!L52</f>
        <v>30000</v>
      </c>
      <c r="E106" s="60">
        <f>D106*(1+E105)</f>
        <v>30000</v>
      </c>
      <c r="F106" s="60">
        <f t="shared" ref="F106:M106" si="24">E106*(1+F105)</f>
        <v>30000</v>
      </c>
      <c r="G106" s="60">
        <f t="shared" si="24"/>
        <v>31500</v>
      </c>
      <c r="H106" s="60">
        <f t="shared" si="24"/>
        <v>33075</v>
      </c>
      <c r="I106" s="60">
        <f t="shared" si="24"/>
        <v>34728.75</v>
      </c>
      <c r="J106" s="60">
        <f t="shared" si="24"/>
        <v>36465.1875</v>
      </c>
      <c r="K106" s="60">
        <f t="shared" si="24"/>
        <v>38288.446875</v>
      </c>
      <c r="L106" s="60">
        <f t="shared" si="24"/>
        <v>40202.86921875</v>
      </c>
      <c r="M106" s="60">
        <f t="shared" si="24"/>
        <v>42213.0126796875</v>
      </c>
      <c r="N106" s="3"/>
    </row>
    <row r="107" ht="30" customHeight="1" spans="3:14">
      <c r="C107" s="35" t="s">
        <v>325</v>
      </c>
      <c r="D107" s="36">
        <f>D104*D106</f>
        <v>0</v>
      </c>
      <c r="E107" s="36">
        <f t="shared" ref="E107:M107" si="25">E104*E106</f>
        <v>0</v>
      </c>
      <c r="F107" s="36">
        <f t="shared" si="25"/>
        <v>0</v>
      </c>
      <c r="G107" s="36">
        <f t="shared" si="25"/>
        <v>0</v>
      </c>
      <c r="H107" s="36">
        <f t="shared" si="25"/>
        <v>0</v>
      </c>
      <c r="I107" s="36">
        <f t="shared" si="25"/>
        <v>347287.5</v>
      </c>
      <c r="J107" s="36">
        <f t="shared" si="25"/>
        <v>401117.0625</v>
      </c>
      <c r="K107" s="36">
        <f t="shared" si="25"/>
        <v>463290.2071875</v>
      </c>
      <c r="L107" s="36">
        <f t="shared" si="25"/>
        <v>535100.189301563</v>
      </c>
      <c r="M107" s="36">
        <f t="shared" si="25"/>
        <v>618040.718643305</v>
      </c>
      <c r="N107" s="3"/>
    </row>
    <row r="108" spans="3:14">
      <c r="C108" s="38"/>
      <c r="D108" s="3"/>
      <c r="E108" s="3"/>
      <c r="F108" s="3"/>
      <c r="G108" s="38"/>
      <c r="H108" s="3"/>
      <c r="I108" s="3"/>
      <c r="J108" s="3"/>
      <c r="K108" s="3"/>
      <c r="L108" s="3"/>
      <c r="M108" s="3"/>
      <c r="N108" s="3"/>
    </row>
    <row r="109" spans="3:14">
      <c r="C109" s="38"/>
      <c r="D109" s="3"/>
      <c r="E109" s="3"/>
      <c r="F109" s="3"/>
      <c r="G109" s="38"/>
      <c r="H109" s="3"/>
      <c r="I109" s="3"/>
      <c r="J109" s="3"/>
      <c r="K109" s="3"/>
      <c r="L109" s="3"/>
      <c r="M109" s="3"/>
      <c r="N109" s="3"/>
    </row>
    <row r="110" spans="3:14">
      <c r="C110" s="38"/>
      <c r="D110" s="3"/>
      <c r="E110" s="3"/>
      <c r="F110" s="3"/>
      <c r="G110" s="38"/>
      <c r="H110" s="3"/>
      <c r="I110" s="3"/>
      <c r="J110" s="3"/>
      <c r="K110" s="3"/>
      <c r="L110" s="3"/>
      <c r="M110" s="3"/>
      <c r="N110" s="3"/>
    </row>
    <row r="113" ht="24" spans="3:3">
      <c r="C113" s="13" t="s">
        <v>186</v>
      </c>
    </row>
    <row r="115" ht="17.6" spans="3:13">
      <c r="C115" s="37"/>
      <c r="D115" s="3"/>
      <c r="E115" s="3"/>
      <c r="F115" s="3"/>
      <c r="G115" s="38"/>
      <c r="H115" s="3"/>
      <c r="I115" s="3"/>
      <c r="J115" s="3"/>
      <c r="K115" s="3"/>
      <c r="L115" s="3"/>
      <c r="M115" s="3"/>
    </row>
    <row r="116" ht="34" spans="3:13">
      <c r="C116" s="38"/>
      <c r="D116" s="50" t="s">
        <v>45</v>
      </c>
      <c r="E116" s="62"/>
      <c r="F116" s="63" t="s">
        <v>48</v>
      </c>
      <c r="G116" s="63"/>
      <c r="H116" s="50" t="s">
        <v>359</v>
      </c>
      <c r="I116" s="50"/>
      <c r="J116" s="50"/>
      <c r="K116" s="3"/>
      <c r="L116" s="3"/>
      <c r="M116" s="3"/>
    </row>
    <row r="117" ht="23" customHeight="1" spans="3:13">
      <c r="C117" s="19"/>
      <c r="D117" s="20">
        <v>2026</v>
      </c>
      <c r="E117" s="20">
        <v>2027</v>
      </c>
      <c r="F117" s="20">
        <v>2028</v>
      </c>
      <c r="G117" s="20">
        <v>2029</v>
      </c>
      <c r="H117" s="20">
        <v>2030</v>
      </c>
      <c r="I117" s="20">
        <v>2031</v>
      </c>
      <c r="J117" s="20">
        <v>2032</v>
      </c>
      <c r="K117" s="20">
        <v>2033</v>
      </c>
      <c r="L117" s="20">
        <v>2034</v>
      </c>
      <c r="M117" s="20">
        <v>2035</v>
      </c>
    </row>
    <row r="118" ht="23" customHeight="1" spans="3:13">
      <c r="C118" s="51" t="s">
        <v>295</v>
      </c>
      <c r="D118" s="52"/>
      <c r="E118" s="52"/>
      <c r="F118" s="52"/>
      <c r="G118" s="52"/>
      <c r="H118" s="52"/>
      <c r="I118" s="52"/>
      <c r="J118" s="52"/>
      <c r="K118" s="52"/>
      <c r="L118" s="52"/>
      <c r="M118" s="52"/>
    </row>
    <row r="119" ht="23" customHeight="1" spans="3:14">
      <c r="C119" s="53" t="s">
        <v>360</v>
      </c>
      <c r="D119" s="22">
        <f>'2. Control Panel'!$L$55</f>
        <v>0.05</v>
      </c>
      <c r="E119" s="22">
        <f>'2. Control Panel'!$L$55</f>
        <v>0.05</v>
      </c>
      <c r="F119" s="22">
        <f>'2. Control Panel'!$L$55</f>
        <v>0.05</v>
      </c>
      <c r="G119" s="22">
        <f>'2. Control Panel'!$L$55</f>
        <v>0.05</v>
      </c>
      <c r="H119" s="22">
        <f>'2. Control Panel'!$L$55</f>
        <v>0.05</v>
      </c>
      <c r="I119" s="22">
        <f>'2. Control Panel'!$L$55</f>
        <v>0.05</v>
      </c>
      <c r="J119" s="22">
        <f>'2. Control Panel'!$L$55</f>
        <v>0.05</v>
      </c>
      <c r="K119" s="22">
        <f>'2. Control Panel'!$L$55</f>
        <v>0.05</v>
      </c>
      <c r="L119" s="22">
        <f>'2. Control Panel'!$L$55</f>
        <v>0.05</v>
      </c>
      <c r="M119" s="22">
        <f>'2. Control Panel'!$L$55</f>
        <v>0.05</v>
      </c>
      <c r="N119" s="66" t="s">
        <v>361</v>
      </c>
    </row>
    <row r="120" ht="23" customHeight="1" spans="3:13">
      <c r="C120" s="54" t="s">
        <v>362</v>
      </c>
      <c r="D120" s="55">
        <f>('2. Control Panel'!L57*'2. Control Panel'!L65)+('2. Control Panel'!L58*'2. Control Panel'!L66)+('2. Control Panel'!L59*'2. Control Panel'!L67)+('2. Control Panel'!L60*'2. Control Panel'!L68)+('2. Control Panel'!L61*'2. Control Panel'!L69)+('2. Control Panel'!L62*'2. Control Panel'!L70)</f>
        <v>1700000</v>
      </c>
      <c r="E120" s="64">
        <f>D120*(1+E119)</f>
        <v>1785000</v>
      </c>
      <c r="F120" s="64">
        <f>E120+('2. Control Panel'!L76*'2. Control Panel'!L77*(1+SUM(E119:F119)))</f>
        <v>2247000</v>
      </c>
      <c r="G120" s="64">
        <f>F120*(1+G119)</f>
        <v>2359350</v>
      </c>
      <c r="H120" s="64">
        <f>G120+('2. Control Panel'!L86*'2. Control Panel'!L87*(1+SUM('4.1 Revenue &amp; Cost Breakdown'!E119:H119)))</f>
        <v>4375350</v>
      </c>
      <c r="I120" s="64">
        <f>H120*(1+I119)</f>
        <v>4594117.5</v>
      </c>
      <c r="J120" s="64">
        <f t="shared" ref="J120:M120" si="26">I120*(1+J119)</f>
        <v>4823823.375</v>
      </c>
      <c r="K120" s="64">
        <f t="shared" si="26"/>
        <v>5065014.54375</v>
      </c>
      <c r="L120" s="64">
        <f t="shared" si="26"/>
        <v>5318265.2709375</v>
      </c>
      <c r="M120" s="64">
        <f t="shared" si="26"/>
        <v>5584178.53448438</v>
      </c>
    </row>
    <row r="121" ht="23" customHeight="1" spans="3:14">
      <c r="C121" s="54" t="s">
        <v>363</v>
      </c>
      <c r="D121" s="56">
        <f>'2. Control Panel'!$L$78</f>
        <v>0.05</v>
      </c>
      <c r="E121" s="56">
        <f>'2. Control Panel'!$L$78</f>
        <v>0.05</v>
      </c>
      <c r="F121" s="56">
        <f>'2. Control Panel'!$L$78</f>
        <v>0.05</v>
      </c>
      <c r="G121" s="56">
        <f>'2. Control Panel'!$L$78</f>
        <v>0.05</v>
      </c>
      <c r="H121" s="56">
        <f>'2. Control Panel'!$L$78</f>
        <v>0.05</v>
      </c>
      <c r="I121" s="56">
        <f>'2. Control Panel'!$L$78</f>
        <v>0.05</v>
      </c>
      <c r="J121" s="56">
        <f>'2. Control Panel'!$L$78</f>
        <v>0.05</v>
      </c>
      <c r="K121" s="56">
        <f>'2. Control Panel'!$L$78</f>
        <v>0.05</v>
      </c>
      <c r="L121" s="56">
        <f>'2. Control Panel'!$L$78</f>
        <v>0.05</v>
      </c>
      <c r="M121" s="56">
        <f>'2. Control Panel'!$L$78</f>
        <v>0.05</v>
      </c>
      <c r="N121" s="66" t="s">
        <v>364</v>
      </c>
    </row>
    <row r="122" ht="23" customHeight="1" spans="3:13">
      <c r="C122" s="54"/>
      <c r="D122" s="57">
        <f>'2. Control Panel'!L63*'2. Control Panel'!L71</f>
        <v>180000</v>
      </c>
      <c r="E122" s="65">
        <f>D122*(1+(E121+E119))</f>
        <v>198000</v>
      </c>
      <c r="F122" s="65">
        <f t="shared" ref="F122:M122" si="27">E122*(1+(F121+F119))</f>
        <v>217800</v>
      </c>
      <c r="G122" s="65">
        <f t="shared" si="27"/>
        <v>239580</v>
      </c>
      <c r="H122" s="65">
        <f t="shared" si="27"/>
        <v>263538</v>
      </c>
      <c r="I122" s="65">
        <f t="shared" si="27"/>
        <v>289891.8</v>
      </c>
      <c r="J122" s="65">
        <f t="shared" si="27"/>
        <v>318880.98</v>
      </c>
      <c r="K122" s="65">
        <f t="shared" si="27"/>
        <v>350769.078</v>
      </c>
      <c r="L122" s="65">
        <f t="shared" si="27"/>
        <v>385845.9858</v>
      </c>
      <c r="M122" s="65">
        <f t="shared" si="27"/>
        <v>424430.58438</v>
      </c>
    </row>
    <row r="123" ht="23" customHeight="1" spans="3:14">
      <c r="C123" s="54" t="s">
        <v>365</v>
      </c>
      <c r="D123" s="58"/>
      <c r="E123" s="58"/>
      <c r="F123" s="58"/>
      <c r="G123" s="56">
        <f>'2. Control Panel'!$L$81</f>
        <v>0.1</v>
      </c>
      <c r="H123" s="56">
        <f>'2. Control Panel'!$L$81</f>
        <v>0.1</v>
      </c>
      <c r="I123" s="56">
        <f>'2. Control Panel'!$L$81</f>
        <v>0.1</v>
      </c>
      <c r="J123" s="56">
        <f>'2. Control Panel'!$L$81</f>
        <v>0.1</v>
      </c>
      <c r="K123" s="56">
        <f>'2. Control Panel'!$L$81</f>
        <v>0.1</v>
      </c>
      <c r="L123" s="56">
        <f>'2. Control Panel'!$L$81</f>
        <v>0.1</v>
      </c>
      <c r="M123" s="56">
        <f>'2. Control Panel'!$L$81</f>
        <v>0.1</v>
      </c>
      <c r="N123" s="66" t="s">
        <v>366</v>
      </c>
    </row>
    <row r="124" ht="30" customHeight="1" spans="3:13">
      <c r="C124" s="54"/>
      <c r="D124" s="58"/>
      <c r="E124" s="58"/>
      <c r="F124" s="65">
        <f>'2. Control Panel'!L79*'2. Control Panel'!L80</f>
        <v>720000</v>
      </c>
      <c r="G124" s="65">
        <f>F124*(1+G123)</f>
        <v>792000</v>
      </c>
      <c r="H124" s="65">
        <f t="shared" ref="H124:M124" si="28">G124*(1+H123)</f>
        <v>871200</v>
      </c>
      <c r="I124" s="65">
        <f t="shared" si="28"/>
        <v>958320</v>
      </c>
      <c r="J124" s="65">
        <f t="shared" si="28"/>
        <v>1054152</v>
      </c>
      <c r="K124" s="65">
        <f t="shared" si="28"/>
        <v>1159567.2</v>
      </c>
      <c r="L124" s="65">
        <f t="shared" si="28"/>
        <v>1275523.92</v>
      </c>
      <c r="M124" s="65">
        <f t="shared" si="28"/>
        <v>1403076.312</v>
      </c>
    </row>
    <row r="125" ht="30" customHeight="1" spans="3:13">
      <c r="C125" s="54" t="s">
        <v>367</v>
      </c>
      <c r="D125" s="56">
        <f>$D$119</f>
        <v>0.05</v>
      </c>
      <c r="E125" s="56">
        <f>$D$119</f>
        <v>0.05</v>
      </c>
      <c r="F125" s="56">
        <f>'2. Control Panel'!$L$83</f>
        <v>0.08</v>
      </c>
      <c r="G125" s="56">
        <f>'2. Control Panel'!$L$83</f>
        <v>0.08</v>
      </c>
      <c r="H125" s="56">
        <f>'2. Control Panel'!$L$83</f>
        <v>0.08</v>
      </c>
      <c r="I125" s="56">
        <f>'2. Control Panel'!$L$83</f>
        <v>0.08</v>
      </c>
      <c r="J125" s="56">
        <f>'2. Control Panel'!$L$83</f>
        <v>0.08</v>
      </c>
      <c r="K125" s="56">
        <f>'2. Control Panel'!$L$83</f>
        <v>0.08</v>
      </c>
      <c r="L125" s="56">
        <f>'2. Control Panel'!$L$83</f>
        <v>0.08</v>
      </c>
      <c r="M125" s="56">
        <f>'2. Control Panel'!$L$83</f>
        <v>0.08</v>
      </c>
    </row>
    <row r="126" ht="23" customHeight="1" spans="3:13">
      <c r="C126" s="54"/>
      <c r="D126" s="55">
        <f>'2. Control Panel'!L64*'2. Control Panel'!L72</f>
        <v>600000</v>
      </c>
      <c r="E126" s="55">
        <f>D126*(1+E125)</f>
        <v>630000</v>
      </c>
      <c r="F126" s="55">
        <f>'2. Control Panel'!L64*'2. Control Panel'!L82</f>
        <v>720000</v>
      </c>
      <c r="G126" s="55">
        <f>F126*(1+G125)</f>
        <v>777600</v>
      </c>
      <c r="H126" s="55">
        <f t="shared" ref="H126:M126" si="29">G126*(1+H125)</f>
        <v>839808</v>
      </c>
      <c r="I126" s="55">
        <f t="shared" si="29"/>
        <v>906992.64</v>
      </c>
      <c r="J126" s="55">
        <f t="shared" si="29"/>
        <v>979552.0512</v>
      </c>
      <c r="K126" s="55">
        <f t="shared" si="29"/>
        <v>1057916.215296</v>
      </c>
      <c r="L126" s="55">
        <f t="shared" si="29"/>
        <v>1142549.51251968</v>
      </c>
      <c r="M126" s="55">
        <f t="shared" si="29"/>
        <v>1233953.47352125</v>
      </c>
    </row>
    <row r="127" ht="23" customHeight="1" spans="3:14">
      <c r="C127" s="25" t="s">
        <v>368</v>
      </c>
      <c r="D127" s="22">
        <f>'2. Control Panel'!$L$54</f>
        <v>0.1</v>
      </c>
      <c r="E127" s="22">
        <f>'2. Control Panel'!$L$54</f>
        <v>0.1</v>
      </c>
      <c r="F127" s="22">
        <f>'2. Control Panel'!$L$54</f>
        <v>0.1</v>
      </c>
      <c r="G127" s="22">
        <f>'2. Control Panel'!$L$54</f>
        <v>0.1</v>
      </c>
      <c r="H127" s="22">
        <f>'2. Control Panel'!$L$54</f>
        <v>0.1</v>
      </c>
      <c r="I127" s="22">
        <f>'2. Control Panel'!$L$54</f>
        <v>0.1</v>
      </c>
      <c r="J127" s="22">
        <f>'2. Control Panel'!$L$54</f>
        <v>0.1</v>
      </c>
      <c r="K127" s="22">
        <f>'2. Control Panel'!$L$54</f>
        <v>0.1</v>
      </c>
      <c r="L127" s="22">
        <f>'2. Control Panel'!$L$54</f>
        <v>0.1</v>
      </c>
      <c r="M127" s="22">
        <f>'2. Control Panel'!$L$54</f>
        <v>0.1</v>
      </c>
      <c r="N127" s="66" t="s">
        <v>369</v>
      </c>
    </row>
    <row r="128" ht="23" customHeight="1" spans="3:13">
      <c r="C128" s="4"/>
      <c r="D128" s="55">
        <f>'2. Control Panel'!L73</f>
        <v>25000</v>
      </c>
      <c r="E128" s="55">
        <f>D128*(1+E127)</f>
        <v>27500</v>
      </c>
      <c r="F128" s="55">
        <f t="shared" ref="F128:M128" si="30">E128*(1+F127)</f>
        <v>30250</v>
      </c>
      <c r="G128" s="55">
        <f t="shared" si="30"/>
        <v>33275</v>
      </c>
      <c r="H128" s="55">
        <f t="shared" si="30"/>
        <v>36602.5</v>
      </c>
      <c r="I128" s="55">
        <f t="shared" si="30"/>
        <v>40262.75</v>
      </c>
      <c r="J128" s="55">
        <f t="shared" si="30"/>
        <v>44289.025</v>
      </c>
      <c r="K128" s="55">
        <f t="shared" si="30"/>
        <v>48717.9275</v>
      </c>
      <c r="L128" s="55">
        <f t="shared" si="30"/>
        <v>53589.72025</v>
      </c>
      <c r="M128" s="55">
        <f t="shared" si="30"/>
        <v>58948.6922750001</v>
      </c>
    </row>
    <row r="129" ht="23" customHeight="1" spans="3:14">
      <c r="C129" s="25" t="s">
        <v>370</v>
      </c>
      <c r="D129" s="22">
        <f>'2. Control Panel'!$L$56</f>
        <v>0.1</v>
      </c>
      <c r="E129" s="22">
        <f>'2. Control Panel'!$L$56</f>
        <v>0.1</v>
      </c>
      <c r="F129" s="22">
        <f>'2. Control Panel'!$L$56</f>
        <v>0.1</v>
      </c>
      <c r="G129" s="22">
        <f>'2. Control Panel'!$L$56</f>
        <v>0.1</v>
      </c>
      <c r="H129" s="22">
        <f>'2. Control Panel'!$L$56</f>
        <v>0.1</v>
      </c>
      <c r="I129" s="22">
        <f>'2. Control Panel'!$L$56</f>
        <v>0.1</v>
      </c>
      <c r="J129" s="22">
        <f>'2. Control Panel'!$L$56</f>
        <v>0.1</v>
      </c>
      <c r="K129" s="22">
        <f>'2. Control Panel'!$L$56</f>
        <v>0.1</v>
      </c>
      <c r="L129" s="22">
        <f>'2. Control Panel'!$L$56</f>
        <v>0.1</v>
      </c>
      <c r="M129" s="22">
        <f>'2. Control Panel'!$L$56</f>
        <v>0.1</v>
      </c>
      <c r="N129" s="66" t="s">
        <v>371</v>
      </c>
    </row>
    <row r="130" ht="23" customHeight="1" spans="3:13">
      <c r="C130" s="25"/>
      <c r="D130" s="55">
        <f>'2. Control Panel'!L75</f>
        <v>100000</v>
      </c>
      <c r="E130" s="55">
        <f>D130*(1+E129)</f>
        <v>110000</v>
      </c>
      <c r="F130" s="55">
        <f t="shared" ref="F130:M130" si="31">E130*(1+F129)</f>
        <v>121000</v>
      </c>
      <c r="G130" s="55">
        <f t="shared" si="31"/>
        <v>133100</v>
      </c>
      <c r="H130" s="55">
        <f t="shared" si="31"/>
        <v>146410</v>
      </c>
      <c r="I130" s="55">
        <f t="shared" si="31"/>
        <v>161051</v>
      </c>
      <c r="J130" s="55">
        <f t="shared" si="31"/>
        <v>177156.1</v>
      </c>
      <c r="K130" s="55">
        <f t="shared" si="31"/>
        <v>194871.71</v>
      </c>
      <c r="L130" s="55">
        <f t="shared" si="31"/>
        <v>214358.881</v>
      </c>
      <c r="M130" s="55">
        <f t="shared" si="31"/>
        <v>235794.7691</v>
      </c>
    </row>
    <row r="131" ht="23" customHeight="1" spans="3:14">
      <c r="C131" s="67" t="s">
        <v>372</v>
      </c>
      <c r="D131" s="68">
        <f>'2. Control Panel'!$L$53</f>
        <v>0.12</v>
      </c>
      <c r="E131" s="68">
        <f>'2. Control Panel'!$L$53</f>
        <v>0.12</v>
      </c>
      <c r="F131" s="68">
        <f>'2. Control Panel'!$L$53</f>
        <v>0.12</v>
      </c>
      <c r="G131" s="68">
        <f>'2. Control Panel'!$L$53</f>
        <v>0.12</v>
      </c>
      <c r="H131" s="68">
        <f>'2. Control Panel'!$L$53</f>
        <v>0.12</v>
      </c>
      <c r="I131" s="68">
        <f>'2. Control Panel'!$L$53</f>
        <v>0.12</v>
      </c>
      <c r="J131" s="68">
        <f>'2. Control Panel'!$L$53</f>
        <v>0.12</v>
      </c>
      <c r="K131" s="68">
        <f>'2. Control Panel'!$L$53</f>
        <v>0.12</v>
      </c>
      <c r="L131" s="68">
        <f>'2. Control Panel'!$L$53</f>
        <v>0.12</v>
      </c>
      <c r="M131" s="68">
        <f>'2. Control Panel'!$L$53</f>
        <v>0.12</v>
      </c>
      <c r="N131" s="66" t="s">
        <v>373</v>
      </c>
    </row>
    <row r="132" ht="23" customHeight="1" spans="3:13">
      <c r="C132" s="67"/>
      <c r="D132" s="57">
        <f>'2. Control Panel'!L74</f>
        <v>50000</v>
      </c>
      <c r="E132" s="74">
        <f>D132*(1+E131)</f>
        <v>56000</v>
      </c>
      <c r="F132" s="74">
        <f t="shared" ref="F132:M132" si="32">E132*(1+F131)</f>
        <v>62720</v>
      </c>
      <c r="G132" s="74">
        <f t="shared" si="32"/>
        <v>70246.4</v>
      </c>
      <c r="H132" s="74">
        <f t="shared" si="32"/>
        <v>78675.968</v>
      </c>
      <c r="I132" s="74">
        <f t="shared" si="32"/>
        <v>88117.0841600001</v>
      </c>
      <c r="J132" s="74">
        <f t="shared" si="32"/>
        <v>98691.1342592001</v>
      </c>
      <c r="K132" s="74">
        <f t="shared" si="32"/>
        <v>110534.070370304</v>
      </c>
      <c r="L132" s="74">
        <f t="shared" si="32"/>
        <v>123798.158814741</v>
      </c>
      <c r="M132" s="74">
        <f t="shared" si="32"/>
        <v>138653.937872509</v>
      </c>
    </row>
    <row r="133" ht="23" customHeight="1" spans="3:14">
      <c r="C133" s="67" t="s">
        <v>374</v>
      </c>
      <c r="D133" s="69"/>
      <c r="E133" s="69"/>
      <c r="F133" s="69"/>
      <c r="G133" s="68">
        <f>'2. Control Panel'!$L$85</f>
        <v>0.15</v>
      </c>
      <c r="H133" s="68">
        <f>'2. Control Panel'!$L$85</f>
        <v>0.15</v>
      </c>
      <c r="I133" s="68">
        <f>'2. Control Panel'!$L$85</f>
        <v>0.15</v>
      </c>
      <c r="J133" s="68">
        <f>'2. Control Panel'!$L$85</f>
        <v>0.15</v>
      </c>
      <c r="K133" s="68">
        <f>'2. Control Panel'!$L$85</f>
        <v>0.15</v>
      </c>
      <c r="L133" s="68">
        <f>'2. Control Panel'!$L$85</f>
        <v>0.15</v>
      </c>
      <c r="M133" s="68">
        <f>'2. Control Panel'!$L$85</f>
        <v>0.15</v>
      </c>
      <c r="N133" s="66" t="s">
        <v>375</v>
      </c>
    </row>
    <row r="134" ht="23" customHeight="1" spans="3:13">
      <c r="C134" s="67"/>
      <c r="D134" s="70"/>
      <c r="E134" s="75"/>
      <c r="F134" s="74">
        <f>'2. Control Panel'!L84</f>
        <v>25000</v>
      </c>
      <c r="G134" s="74">
        <f>F134*(1+G133)</f>
        <v>28750</v>
      </c>
      <c r="H134" s="74">
        <f t="shared" ref="H134:M134" si="33">G134*(1+H133)</f>
        <v>33062.5</v>
      </c>
      <c r="I134" s="74">
        <f t="shared" si="33"/>
        <v>38021.875</v>
      </c>
      <c r="J134" s="74">
        <f t="shared" si="33"/>
        <v>43725.15625</v>
      </c>
      <c r="K134" s="74">
        <f t="shared" si="33"/>
        <v>50283.9296875</v>
      </c>
      <c r="L134" s="74">
        <f t="shared" si="33"/>
        <v>57826.519140625</v>
      </c>
      <c r="M134" s="74">
        <f t="shared" si="33"/>
        <v>66500.4970117187</v>
      </c>
    </row>
    <row r="135" ht="23" customHeight="1" spans="3:13">
      <c r="C135" s="71" t="s">
        <v>301</v>
      </c>
      <c r="D135" s="72"/>
      <c r="E135" s="76"/>
      <c r="F135" s="76"/>
      <c r="G135" s="76"/>
      <c r="H135" s="76"/>
      <c r="I135" s="76"/>
      <c r="J135" s="76"/>
      <c r="K135" s="65"/>
      <c r="L135" s="65"/>
      <c r="M135" s="65"/>
    </row>
    <row r="136" ht="27" customHeight="1" spans="3:13">
      <c r="C136" s="48" t="s">
        <v>302</v>
      </c>
      <c r="D136" s="73"/>
      <c r="E136" s="77"/>
      <c r="F136" s="77"/>
      <c r="G136" s="77"/>
      <c r="H136" s="77"/>
      <c r="I136" s="77"/>
      <c r="J136" s="77"/>
      <c r="K136" s="78">
        <f>'2. Control Panel'!$L$88</f>
        <v>500000</v>
      </c>
      <c r="L136" s="78">
        <f>'2. Control Panel'!$L$88</f>
        <v>500000</v>
      </c>
      <c r="M136" s="78">
        <f>'2. Control Panel'!$L$88</f>
        <v>500000</v>
      </c>
    </row>
    <row r="137" ht="29" customHeight="1" spans="3:13">
      <c r="C137" s="35" t="s">
        <v>244</v>
      </c>
      <c r="D137" s="36">
        <f>SUM(D120,D122,D124,D126,D128,D130,D132,D134,D136)</f>
        <v>2655000</v>
      </c>
      <c r="E137" s="36">
        <f t="shared" ref="E137:M137" si="34">SUM(E120,E122,E124,E126,E128,E130,E132,E134,E136)</f>
        <v>2806500</v>
      </c>
      <c r="F137" s="36">
        <f t="shared" si="34"/>
        <v>4143770</v>
      </c>
      <c r="G137" s="36">
        <f t="shared" si="34"/>
        <v>4433901.4</v>
      </c>
      <c r="H137" s="36">
        <f t="shared" si="34"/>
        <v>6644646.968</v>
      </c>
      <c r="I137" s="36">
        <f t="shared" si="34"/>
        <v>7076774.64916</v>
      </c>
      <c r="J137" s="36">
        <f t="shared" si="34"/>
        <v>7540269.8217092</v>
      </c>
      <c r="K137" s="36">
        <f t="shared" si="34"/>
        <v>8537674.67460381</v>
      </c>
      <c r="L137" s="36">
        <f t="shared" si="34"/>
        <v>9071757.96846255</v>
      </c>
      <c r="M137" s="36">
        <f t="shared" si="34"/>
        <v>9645536.80064486</v>
      </c>
    </row>
  </sheetData>
  <mergeCells count="8">
    <mergeCell ref="D2:H2"/>
    <mergeCell ref="D3:H3"/>
    <mergeCell ref="D4:H4"/>
    <mergeCell ref="D5:H5"/>
    <mergeCell ref="D40:E40"/>
    <mergeCell ref="C121:C122"/>
    <mergeCell ref="C123:C124"/>
    <mergeCell ref="C125:C126"/>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A1" sqref="A1"/>
    </sheetView>
  </sheetViews>
  <sheetFormatPr defaultColWidth="8.83035714285714" defaultRowHeight="16.8"/>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36.6607142857143" customWidth="1"/>
  </cols>
  <sheetData>
    <row r="1" spans="1:1">
      <c r="A1" t="s">
        <v>68</v>
      </c>
    </row>
    <row r="2" spans="1:1">
      <c r="A2" t="s">
        <v>376</v>
      </c>
    </row>
    <row r="3" spans="1:1">
      <c r="A3" t="s">
        <v>377</v>
      </c>
    </row>
    <row r="4" spans="1:1">
      <c r="A4" t="s">
        <v>378</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showGridLines="0" workbookViewId="0">
      <selection activeCell="A1" sqref="A1"/>
    </sheetView>
  </sheetViews>
  <sheetFormatPr defaultColWidth="8.83035714285714" defaultRowHeight="16.8" outlineLevelRow="5"/>
  <cols>
    <col min="1" max="1" width="28.1607142857143" customWidth="1"/>
  </cols>
  <sheetData>
    <row r="1" spans="1:1">
      <c r="A1" t="s">
        <v>186</v>
      </c>
    </row>
    <row r="2" spans="1:1">
      <c r="A2" t="s">
        <v>379</v>
      </c>
    </row>
    <row r="3" spans="1:1">
      <c r="A3" t="s">
        <v>380</v>
      </c>
    </row>
    <row r="4" spans="1:1">
      <c r="A4" t="s">
        <v>381</v>
      </c>
    </row>
    <row r="5" spans="1:1">
      <c r="A5" t="s">
        <v>382</v>
      </c>
    </row>
    <row r="6" spans="1:1">
      <c r="A6" t="s">
        <v>383</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25.5" customWidth="1"/>
  </cols>
  <sheetData>
    <row r="1" ht="17" spans="1:1">
      <c r="A1" s="1" t="s">
        <v>384</v>
      </c>
    </row>
    <row r="2" ht="17" spans="1:1">
      <c r="A2" s="2" t="s">
        <v>385</v>
      </c>
    </row>
    <row r="3" spans="1:1">
      <c r="A3" t="s">
        <v>386</v>
      </c>
    </row>
    <row r="4" spans="1:1">
      <c r="A4" t="s">
        <v>387</v>
      </c>
    </row>
  </sheetData>
  <pageMargins left="0.7" right="0.7" top="0.75" bottom="0.75" header="0.3" footer="0.3"/>
  <pageSetup paperSize="1" orientation="portrait"/>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C1C5D0-DBEA-439B-A081-14DE8C3F81E1}">
  <ds:schemaRefs/>
</ds:datastoreItem>
</file>

<file path=customXml/itemProps2.xml><?xml version="1.0" encoding="utf-8"?>
<ds:datastoreItem xmlns:ds="http://schemas.openxmlformats.org/officeDocument/2006/customXml" ds:itemID="{0894B469-3808-49D6-83BD-E39FB14DCF5D}">
  <ds:schemaRefs/>
</ds:datastoreItem>
</file>

<file path=customXml/itemProps3.xml><?xml version="1.0" encoding="utf-8"?>
<ds:datastoreItem xmlns:ds="http://schemas.openxmlformats.org/officeDocument/2006/customXml" ds:itemID="{E9C73899-9971-41FC-BC2E-78A6AAD6A07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0. Overview &amp; Table of Contents</vt:lpstr>
      <vt:lpstr>1. Instructions &amp; Definitions</vt:lpstr>
      <vt:lpstr>2. Control Panel</vt:lpstr>
      <vt:lpstr>3. Market Sizing Summary</vt:lpstr>
      <vt:lpstr>3.1 Market Sizing Breakdown</vt:lpstr>
      <vt:lpstr>4. Financial Projection Summary</vt:lpstr>
      <vt:lpstr>4.1 Revenue &amp; Cost Breakdown</vt:lpstr>
      <vt:lpstr>Formatting (IGNORE) --&gt;</vt:lpstr>
      <vt:lpstr>Rev_L1 Drop Down</vt:lpstr>
      <vt:lpstr>Costs_L1 Drop Down</vt:lpstr>
      <vt:lpstr>Scenario Planning_Drop 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dc:title>
  <dc:creator>Anderson, Mac</dc:creator>
  <cp:lastModifiedBy>Aaron Wang</cp:lastModifiedBy>
  <dcterms:created xsi:type="dcterms:W3CDTF">2015-06-07T02:17:00Z</dcterms:created>
  <dcterms:modified xsi:type="dcterms:W3CDTF">2026-04-27T13:31:16Z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0x010100791D3D941620A94998132F2F5CDF9796</vt:lpwstr>
  </property>
  <property fmtid="{D5CDD505-2E9C-101B-9397-08002B2CF9AE}" pid="3" name="MediaServiceImageTags">
    <vt:lpwstr/>
  </property>
  <property fmtid="{D5CDD505-2E9C-101B-9397-08002B2CF9AE}" pid="4" name="KSOProductBuildVer">
    <vt:lpwstr>2052-6.1.0.8274</vt:lpwstr>
  </property>
  <property fmtid="{D5CDD505-2E9C-101B-9397-08002B2CF9AE}" pid="5" name="ICV">
    <vt:lpwstr>E47F0DAAF302212D4AFED96926B568FB_42</vt:lpwstr>
  </property>
</Properties>
</file>