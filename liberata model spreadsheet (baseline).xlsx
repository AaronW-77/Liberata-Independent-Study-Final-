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5180" firstSheet="3" activeTab="5"/>
  </bookViews>
  <sheets>
    <sheet name="0. Overview &amp; Table of Contents" sheetId="15" r:id="rId1"/>
    <sheet name="1. Instructions &amp; Definitions" sheetId="74" r:id="rId2"/>
    <sheet name="2. Control Panel" sheetId="75" r:id="rId3"/>
    <sheet name="3. Market Sizing Summary" sheetId="80" r:id="rId4"/>
    <sheet name="3.1 Market Sizing Breakdown" sheetId="81" r:id="rId5"/>
    <sheet name="4. Financial Projection Summary" sheetId="77" r:id="rId6"/>
    <sheet name="4.1 Revenue &amp; Cost Breakdown" sheetId="79" r:id="rId7"/>
    <sheet name="Formatting (IGNORE) --&gt;" sheetId="73" state="hidden" r:id="rId8"/>
    <sheet name="Rev_L1 Drop Down" sheetId="60" state="hidden" r:id="rId9"/>
    <sheet name="Costs_L1 Drop Down" sheetId="61" state="hidden" r:id="rId10"/>
    <sheet name="Scenario Planning_Drop Down" sheetId="47" state="hidden" r:id="rId11"/>
  </sheets>
  <definedNames>
    <definedName name="add_5">#REF!</definedName>
    <definedName name="Adv_Strategic_Pillars">#REF!</definedName>
    <definedName name="Advantages">#REF!</definedName>
    <definedName name="Alignment_With_Key_Nike_Objectives__Next_Strategic_Pillars">#REF!</definedName>
    <definedName name="Alignment_With_Key_Nike_Objectives_Next__Strategic_Pillars">#REF!</definedName>
    <definedName name="Alignment_With_Next__Strategic_Pillars">#REF!</definedName>
    <definedName name="AlignmentWithNext_StrategicPillars">#REF!</definedName>
    <definedName name="Capital_Expenditure">#REF!</definedName>
    <definedName name="Capital_Expenditures">#REF!</definedName>
    <definedName name="Cost_of_Goods_Sold">#REF!</definedName>
    <definedName name="Costs">'Costs_L1 Drop Down'!$A$2:$A$6</definedName>
    <definedName name="Date">#REF!</definedName>
    <definedName name="Direct">#REF!</definedName>
    <definedName name="Direct___Indirect">#REF!</definedName>
    <definedName name="Engagement">#REF!</definedName>
    <definedName name="Expenses">#REF!</definedName>
    <definedName name="Increase_in_Average_Transaction_Value">#REF!</definedName>
    <definedName name="Increase_in_Conversion">#REF!</definedName>
    <definedName name="Increase_in_Foot_Traffic">#REF!</definedName>
    <definedName name="Interest">#REF!</definedName>
    <definedName name="Name">#REF!</definedName>
    <definedName name="number">#REF!</definedName>
    <definedName name="Operating_Expenses">#REF!</definedName>
    <definedName name="Revenue">'Rev_L1 Drop Down'!$A$2:$A$4</definedName>
    <definedName name="Revenue_Uplift">#REF!</definedName>
    <definedName name="Risks">#REF!</definedName>
    <definedName name="Scenario_Toggle">'Scenario Planning_Drop Down'!$A$2:$A$4</definedName>
    <definedName name="Scenario_Toggles">'Scenario Planning_Drop Down'!$A$2:$A$4</definedName>
    <definedName name="Strategic_Pillars">#REF!</definedName>
    <definedName name="Sub_Levers">#REF!</definedName>
    <definedName name="Taxes">#REF!</definedName>
    <definedName name="Timeline">#REF!</definedName>
    <definedName name="Transition">#REF!</definedName>
    <definedName name="Transition_Scaling">#REF!</definedName>
  </definedNames>
  <calcPr calcId="144525"/>
</workbook>
</file>

<file path=xl/comments1.xml><?xml version="1.0" encoding="utf-8"?>
<comments xmlns="http://schemas.openxmlformats.org/spreadsheetml/2006/main">
  <authors>
    <author>tc={20528B12-3ED7-0C49-A13B-BB3CD6A4FCD8}</author>
    <author>tc={35E62D78-1237-8446-B212-3D6ECCC81E61}</author>
    <author>tc={7D1CCB4E-69AC-1D4B-91B3-352A3E61E082}</author>
    <author>tc={AAAA2617-F6E9-1947-BA41-4BA051DC2AE7}</author>
    <author>tc={57956B01-0D94-6144-BACC-271046693A28}</author>
    <author>tc={3FA49434-07CD-444E-8DDA-201778259B24}</author>
    <author>tc={5EE1D353-4DAC-0543-B79F-9EAA6B3FEFDC}</author>
    <author>tc={E8E3A3AD-80F6-6341-B025-A58F24631548}</author>
    <author>tc={408BAF8D-A071-3449-96E6-5E17D6E97E75}</author>
    <author>tc={E9AD188F-B856-8D46-9D91-82CB631F1106}</author>
    <author>tc={6BA0D74D-A840-D54D-84C6-80444E3E0670}</author>
    <author>tc={F67B1765-2F00-0F4E-9C7F-D4430C2703EF}</author>
    <author>tc={E4713B95-72D6-C946-8258-C72B95B839B3}</author>
  </authors>
  <commentList>
    <comment ref="L12"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academia.edu = 301 m+ registered users. Also, AI-native research tools are currently hitting revenue milestones significantly faster than traditional software. 
Litmaps has secured over 350,000 users worldwide.
3x more likely to reach $1 million in Annual Recurring Revenue (ARR) within just 6 months.
Aaron: These points are interesting context, but they do not directly support the assumed YoY user growth rate. 10% YoY user growth is a conservative baseline assumption reflecting early-stage adoption of research infrastructure products, pending empirical cohort data.</t>
        </r>
      </text>
    </comment>
    <comment ref="L18" authorId="1">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15 is a safe assumption.
Aaron: Agree</t>
        </r>
      </text>
    </comment>
    <comment ref="L20" authorId="2">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0% free trial may be too rigid for institutional procurement norms.
Universities often require PoCs or pilots before approving six-figure contracts.
Paid pilot model (10–30% of ACV, ~90 days) is common in mature enterprise SaaS.
Paid pilots convert ~3.2× better than open-ended or free evaluations.
Reply:
    https://edutech.global/how-edtech-companies-can-win-institutional-contracts/
https://www.getmonetizely.com/articles/how-to-structure-enterprise-pilot-program-pricing-effective-proof-of-concept-strategies
Comment: This is a thoughtful observation especially the prevalence of pilots or PoCs for large contracts. 
The current comment conflates free trials with paid pilots, which makes it less directly applicable to the 0% free-trial assumption in years 3 and beyond. 
A useful next step would be to explicitly model paid pilots separately from free trials, rather than treating the absence of free trials as the absence of any trial mechanism.</t>
        </r>
      </text>
    </comment>
    <comment ref="L21" authorId="3">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 In 2025, the average SaaS trial-to-paid conversion rate is approximately 25%.
-"Education / EdTech" software, the trial-to-paid conversion rate is 24.8%
-General "Enterprise" software, it is 18.6%.3
- Properly structured enterprise pilot programs, which McKinsey defines as having predefined success criteria= 40-60%.
Reply:
    https://firstpagesage.com/seo-blog/average-saas-conversion-rates/
 https://firstpagesage.com/seo-blog/saas-free-trial-conversion-rate-benchmarks/
https://www.amraandelma.com/free-trial-conversion-statistics/
https://payproglobal.com/answers/what-is-saas-trial-conversion-rate/
Reply:
    because we are starting from 0, we might see a bigger bump , in the initial years- Could be 35%
Aaron: The conversion benchmarks cited here are helpful for understanding funnel efficiency, but they reflect trial-to-paid dynamics rather than YoY growth in the number of subscribing universities. It may be useful to supplement these figures with institutional customer growth benchmarks from comparable research or EdTech platforms; based on early-stage enterprise adoption patterns, a defendable year-2 YoY growth range would likely fall in the 60–100% range rather than being inferred directly from conversion rates.</t>
        </r>
      </text>
    </comment>
    <comment ref="L22" authorId="4">
      <text>
        <r>
          <rPr>
            <sz val="10"/>
            <rFont val="宋体"/>
            <charset val="134"/>
          </rPr>
          <t xml:space="preserve">[Threaded comment]
Your version of Excel allows you to read this threaded comment; however, any edits to it will get removed if the file is opened in a newer version of Excel. Learn more: https://go.microsoft.com/fwlink/?linkid=870924
Comment:
    Reaching 101 universities by 2030.
Aaron: Agree to quantify this, but what is our starting base and annual net additions for that? </t>
        </r>
      </text>
    </comment>
    <comment ref="L24" authorId="5">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Approaching market saturation.
Model projects 933 subscribed universities by 2035 (Year 10).
Total U.S. research-producing institutions ≈ 1,070.
933 universities implies ~87% U.S. market penetration.
Assumption reflects realistic saturation dynamics rather than perpetual high growth.
Aaron: Very good point! One point that may benefit from clarification is whether the saturation calculation is based solely on U.S. research-producing institutions or the broader global university market modeled elsewhere, as this affects how the 87% penetration figure should be interpreted.</t>
        </r>
      </text>
    </comment>
    <comment ref="L26" authorId="6">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Texas A&amp;M University (an R1) in 2019 paid &gt; $212,000 for Web of Science and almost $140,000 for Scopus. Willingness to pay 52% higher to WOS for extra database. 
Academic Analytics, a specialized benchmarking tool, likewise charges in this range: e.g. Rutgers’ 4-year contract was ~$492,500 total (about $123K/year), and the University of South Florida pays $300K/year on a 5-year contract. Considering these examples, I think the proposed price should be around 150,000. This could be increased later on, but considering the limited metrices available in the early years, the proposed price might be high.
sources: 
https://oaktrust.library.tamu.edu/server/api/core/bitstreams/523cf2c5-3a6e-4b6c-89fb-0227f138ee38/content#:~:text=%E2%80%A2%20The%20subscription%20cost%20for,year%2C%20while%20Scopus%20had%20a
https://nbfc.rutgers.edu/documents/report-and-resolution-use-academic-analytics#:~:text=In%202013%2C%20Rutgers%20University%20signed,University%20has%20provided%20very%20little
https://www.usf.edu/faculty-senate/faculty-senate-news/2022/aca.aspx#:~:text=USF%20began%20using%20the%20tool,for%20centrally%20determined%20internal%20funding
Reply:
    internal inconsistency,  model  assumes R1 institutions spend an average of $40,000 on metrics. but setting own price at 200,000. 
Comment:
   This is a strong and well-supported pricing analysis grounded in real institutional contracts and highly relevant peer products! I agree with this.</t>
        </r>
      </text>
    </comment>
    <comment ref="L27" authorId="7">
      <text>
        <r>
          <rPr>
            <sz val="10"/>
            <rFont val="宋体"/>
            <charset val="134"/>
          </rPr>
          <t xml:space="preserve">[Threaded comment]
Your version of Excel allows you to read this threaded comment; however, any edits to it will get removed if the file is opened in a newer version of Excel. Learn more: https://go.microsoft.com/fwlink/?linkid=870924
Comment:
    Significant market risk. At nearly 2.5% of the total median R2 library budget, this cost is substantially higher than the estimated $75,000–$130,000 that R2s currently pay for legacy tools. 
For an R2 institution to justify such an expenditure, Liberata would likely need to demonstrate a guaranteed minimum return from AI data licensing or a drastic reduction in other SaaS expenditures
Reply:
    Example: Portland State (R2) has a ~$3.95M total library collections budget.
A $180k subscription = ~5% of total budget, which is disproportionately large.  https://pdx.pressbooks.pub/libraryopenaccessguide/chapter/psu-librarys-budgeting-for-open-access-scholarship/
Reply:
    maybe 70k or around the lower bound
Comment: Agree, should be lower. </t>
        </r>
      </text>
    </comment>
    <comment ref="L30" authorId="8">
      <text>
        <r>
          <rPr>
            <sz val="10"/>
            <rFont val="宋体"/>
            <charset val="134"/>
          </rPr>
          <t xml:space="preserve">[Threaded comment]
Your version of Excel allows you to read this threaded comment; however, any edits to it will get removed if the file is opened in a newer version of Excel. Learn more: https://go.microsoft.com/fwlink/?linkid=870924
Comment:
    The flat $120,000 global price ignores the standard "GNI-based" pricing used by established publishers. Elsevier, provides waivers or 80% discounts for lower-middle-income countries to ensure equitable access
Reply:
    can i bucket all asian univerisities together? see if we can find pricing based on geography
Reply:
    focus on r1 in europe/uk. In china: what segments make most sense for us to pursue? we care about top universities
Comment: Agree, Geography- and GNI-based pricing is common (e.g., Research4Life and Elsevier’s  geographical pricing initiatives for lower- and middle-income countries). For modeling simplicity, it may be reasonable to retain a single “other global universities” baseline price, while noting that this represents high-income non-U.S. markets (e.g., UK/Western Europe), with additional regional or income-based discounting applied in practice.                                                                                                           https://www.elsevier.com/about/press-releases/elsevier-introduces-geographical-pricing-pilot-to-support-authors-in-low-and
https://blogs.lse.ac.uk/impactofsocialsciences/2014/08/12/secrets-of-the-big-deal-journal-pricing/
</t>
        </r>
      </text>
    </comment>
    <comment ref="L32" authorId="9">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https://www.mcls.org/files/3716/1183/6870/clarivate_addendum.pdf#:~:text=Year%201%20Fees%20Year%202,Subscription%20Site%20Perpetual
Reply:
    The 5% increase in the package fees might be too much all of a sudden. Clarivate increased its prices by 2-3% 
Reply:
    an alternative to 5% increase consistently could be a gradually increasing % over years. For instance, starting with 2% as other journals propose.
And as Liberata moves to a new phase with more services and features, prices increase. Thus they could be justified. 
Reply:
     Clarivate’s recent flat revenues indicate limited pricing power currently (perhaps due to competition and budget pressures), so Liberata should not count on automatic 5% hikes unless it truly dominates its niche.
source: https://clarivate.com/news/clarivate-reports-second-quarter-2025-results/
Reply:
    start by 1% makes sense and then scaling it
Aaron: 1% or 2% in the earlier years is reasonable, with higher increases only as Liberata demonstrably expands functionality and pricing power over time.</t>
        </r>
      </text>
    </comment>
    <comment ref="L34" authorId="1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Carnegie Classification (2025): 139 R2  institutions.
https://carnegieclassifications.acenet.edu/
Aaron: Solid</t>
        </r>
      </text>
    </comment>
    <comment ref="J76" authorId="11">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completely random. interview people
Aaron: 
According to the 2025 Stack Overflow Developer Survey, software engineers and related technical roles report annual salaries in ranges that support senior engineer compensation near $130k–$150k in many markets (StackOverflow Developer Survey 2025). 
https://survey.stackoverflow.co/2025/work/
Industry salary data (Robert Half Salary Guide) provides additional confirmation of tech compensation levels and overall trend projections for the sector.
https://www.roberthalf.com/us/en/insights/salary-guide
According to Indeed, AI Engineer roles in the United States typically command six-figure annual compensation, with average salaries commonly exceeding $140,000 per year
https://www.indeed.com/career/salaries</t>
        </r>
      </text>
    </comment>
    <comment ref="J86" authorId="12">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things we wanna do in long term, identify new costs based on long term vision
Aaron: This is a helpful strategic framing. Phase 3 is intended to represent long-term scaling, and it’s reasonable that costs in this phase should be driven by the long-term product and organizational vision rather than a simple extension of earlier phases. To make this more defensible in the model, it may be useful to explicitly tie Phase 3 costs to specific long-term initiatives (e.g., expanded data infrastructure, new product modules, global operations, or enterprise-grade reliability)</t>
        </r>
      </text>
    </comment>
  </commentList>
</comments>
</file>

<file path=xl/sharedStrings.xml><?xml version="1.0" encoding="utf-8"?>
<sst xmlns="http://schemas.openxmlformats.org/spreadsheetml/2006/main" count="553" uniqueCount="376">
  <si>
    <t>Liberata: Market Sizing and Financial Projections</t>
  </si>
  <si>
    <r>
      <rPr>
        <b/>
        <i/>
        <sz val="14"/>
        <color theme="1"/>
        <rFont val="Calibri"/>
        <charset val="134"/>
      </rPr>
      <t>1. Table of Contents</t>
    </r>
    <r>
      <rPr>
        <i/>
        <sz val="14"/>
        <color theme="1"/>
        <rFont val="Calibri"/>
        <charset val="134"/>
      </rPr>
      <t xml:space="preserve"> breaks down how the Excel file is laid out</t>
    </r>
  </si>
  <si>
    <t>1. Table of Contents:</t>
  </si>
  <si>
    <t>Section</t>
  </si>
  <si>
    <t>Index</t>
  </si>
  <si>
    <t>Description</t>
  </si>
  <si>
    <t>Instructions &amp; Definitions</t>
  </si>
  <si>
    <t>Instructions for how to view and navigate the file in addition to explaining how to adjust inputs and assumptions.</t>
  </si>
  <si>
    <t>Control Panel</t>
  </si>
  <si>
    <t>Provides inputs and assumptions used across the market sizing and financial projections, which can be modified and adjusted, per 1. Instructions &amp; Definitions</t>
  </si>
  <si>
    <t>Market Sizing Summary</t>
  </si>
  <si>
    <t>Provides a high level overview of Total Addressable Market, Serviceable Addressable Market, and Serviceable Obtainable Market across relevant sectors</t>
  </si>
  <si>
    <t>Market Sizing Calculations</t>
  </si>
  <si>
    <t>Provides details on methodologies and calculations for market sizing across sectors</t>
  </si>
  <si>
    <t>Revenue Model Summary</t>
  </si>
  <si>
    <t>Provides a high level overview of revenue and cost projections for years 1-10</t>
  </si>
  <si>
    <t>Revenue &amp; Cost Breakdown</t>
  </si>
  <si>
    <t>Provides a deeper breakdown of estimates YoY of revenues and costs</t>
  </si>
  <si>
    <t>Market Sizing and Finanical Projections: Instructions &amp; Definitions</t>
  </si>
  <si>
    <r>
      <rPr>
        <b/>
        <i/>
        <sz val="14"/>
        <color theme="1"/>
        <rFont val="Calibri"/>
        <charset val="134"/>
      </rPr>
      <t>1. To View &amp; Navigate the File</t>
    </r>
    <r>
      <rPr>
        <i/>
        <sz val="14"/>
        <color theme="1"/>
        <rFont val="Calibri"/>
        <charset val="134"/>
      </rPr>
      <t xml:space="preserve"> The order in which the viewer should click through the file</t>
    </r>
  </si>
  <si>
    <r>
      <rPr>
        <b/>
        <i/>
        <sz val="14"/>
        <color theme="1"/>
        <rFont val="Calibri"/>
        <charset val="134"/>
      </rPr>
      <t>2. To Adjust Inputs and Assumptions</t>
    </r>
    <r>
      <rPr>
        <i/>
        <sz val="14"/>
        <color theme="1"/>
        <rFont val="Calibri"/>
        <charset val="134"/>
      </rPr>
      <t xml:space="preserve"> Description on how the viewer can adjust the numbers/figures</t>
    </r>
  </si>
  <si>
    <r>
      <rPr>
        <b/>
        <i/>
        <sz val="14"/>
        <color theme="1"/>
        <rFont val="Calibri"/>
        <charset val="134"/>
      </rPr>
      <t>3. Important Definitions/Descriptions</t>
    </r>
    <r>
      <rPr>
        <i/>
        <sz val="14"/>
        <color theme="1"/>
        <rFont val="Calibri"/>
        <charset val="134"/>
      </rPr>
      <t xml:space="preserve"> Explanations on the meaning/importance of various terms/figures used throughout the file</t>
    </r>
  </si>
  <si>
    <t>1.To View &amp; Navigate the File:</t>
  </si>
  <si>
    <r>
      <rPr>
        <sz val="11"/>
        <color theme="1"/>
        <rFont val="Calibri"/>
        <charset val="134"/>
      </rPr>
      <t xml:space="preserve">1. After reviewing </t>
    </r>
    <r>
      <rPr>
        <i/>
        <sz val="11"/>
        <color theme="1"/>
        <rFont val="Calibri"/>
        <charset val="134"/>
      </rPr>
      <t>1.0 Overview &amp; Table of Contents</t>
    </r>
    <r>
      <rPr>
        <sz val="11"/>
        <color theme="1"/>
        <rFont val="Calibri"/>
        <charset val="134"/>
      </rPr>
      <t>, review this sheet to understand how to navigate the file</t>
    </r>
  </si>
  <si>
    <r>
      <rPr>
        <sz val="11"/>
        <color theme="1"/>
        <rFont val="Calibri"/>
        <charset val="134"/>
      </rPr>
      <t xml:space="preserve">2. To adjust inputs to both the market sizing and financial projections, proceed to </t>
    </r>
    <r>
      <rPr>
        <i/>
        <sz val="11"/>
        <color theme="1"/>
        <rFont val="Calibri"/>
        <charset val="134"/>
      </rPr>
      <t>2. Control Panel</t>
    </r>
    <r>
      <rPr>
        <sz val="11"/>
        <color theme="1"/>
        <rFont val="Calibri"/>
        <charset val="134"/>
      </rPr>
      <t xml:space="preserve"> to make adjustments to assumptions</t>
    </r>
  </si>
  <si>
    <r>
      <rPr>
        <sz val="11"/>
        <color theme="1"/>
        <rFont val="Calibri"/>
        <charset val="134"/>
      </rPr>
      <t>2. Proceed to 3</t>
    </r>
    <r>
      <rPr>
        <i/>
        <sz val="11"/>
        <color theme="1"/>
        <rFont val="Calibri"/>
        <charset val="134"/>
      </rPr>
      <t xml:space="preserve">. Market Sizing Summary </t>
    </r>
    <r>
      <rPr>
        <sz val="11"/>
        <color theme="1"/>
        <rFont val="Calibri"/>
        <charset val="134"/>
      </rPr>
      <t>and</t>
    </r>
    <r>
      <rPr>
        <i/>
        <sz val="11"/>
        <color theme="1"/>
        <rFont val="Calibri"/>
        <charset val="134"/>
      </rPr>
      <t xml:space="preserve"> 4. Financial Projection Summary </t>
    </r>
    <r>
      <rPr>
        <sz val="11"/>
        <color theme="1"/>
        <rFont val="Calibri"/>
        <charset val="134"/>
      </rPr>
      <t>to see the high-level overview on the modeling for Liberata</t>
    </r>
  </si>
  <si>
    <r>
      <rPr>
        <sz val="11"/>
        <color theme="1"/>
        <rFont val="Calibri"/>
        <charset val="134"/>
      </rPr>
      <t>3. Continue to 3</t>
    </r>
    <r>
      <rPr>
        <i/>
        <sz val="11"/>
        <color theme="1"/>
        <rFont val="Calibri"/>
        <charset val="134"/>
      </rPr>
      <t>.1 Market Sizing Breakdown</t>
    </r>
    <r>
      <rPr>
        <sz val="11"/>
        <color theme="1"/>
        <rFont val="Calibri"/>
        <charset val="134"/>
      </rPr>
      <t xml:space="preserve"> to understand specific methodologies used to calculate TAM, SAM, and SOM across relevant markets</t>
    </r>
  </si>
  <si>
    <r>
      <rPr>
        <sz val="11"/>
        <color theme="1"/>
        <rFont val="Calibri"/>
        <charset val="134"/>
      </rPr>
      <t>4. Proceed to the 4</t>
    </r>
    <r>
      <rPr>
        <i/>
        <sz val="11"/>
        <color theme="1"/>
        <rFont val="Calibri"/>
        <charset val="134"/>
      </rPr>
      <t>.1 Revenue &amp; Cost Breakdown</t>
    </r>
    <r>
      <rPr>
        <sz val="11"/>
        <color theme="1"/>
        <rFont val="Calibri"/>
        <charset val="134"/>
      </rPr>
      <t xml:space="preserve"> to understand initial revenue and cost projections for years 1-10</t>
    </r>
  </si>
  <si>
    <t>2. To Adjust Inputs and Assumptions:</t>
  </si>
  <si>
    <t>1. Whenever a blue box saying "Dropdown adjustment" appears, click on the dropdown and choose one of the values to affect the outputs of the sheet</t>
  </si>
  <si>
    <r>
      <rPr>
        <sz val="11"/>
        <color theme="1"/>
        <rFont val="Calibri"/>
        <charset val="134"/>
      </rPr>
      <t xml:space="preserve">2. General Rule of Thumb: </t>
    </r>
    <r>
      <rPr>
        <b/>
        <sz val="11"/>
        <color rgb="FF070299"/>
        <rFont val="Calibri"/>
        <charset val="134"/>
      </rPr>
      <t>All numbers in blue</t>
    </r>
    <r>
      <rPr>
        <sz val="11"/>
        <color theme="1"/>
        <rFont val="Calibri"/>
        <charset val="134"/>
      </rPr>
      <t xml:space="preserve"> in </t>
    </r>
    <r>
      <rPr>
        <i/>
        <sz val="11"/>
        <color theme="1"/>
        <rFont val="Calibri"/>
        <charset val="134"/>
      </rPr>
      <t>Control Panel</t>
    </r>
    <r>
      <rPr>
        <sz val="11"/>
        <color theme="1"/>
        <rFont val="Calibri"/>
        <charset val="134"/>
      </rPr>
      <t xml:space="preserve"> are assumptions that can be changed as deemed fit - without breaking the model</t>
    </r>
  </si>
  <si>
    <t>3. Important Definitions/Descriptions:</t>
  </si>
  <si>
    <t>Word/Value</t>
  </si>
  <si>
    <t>Sections Included</t>
  </si>
  <si>
    <t>Definition</t>
  </si>
  <si>
    <t>Low</t>
  </si>
  <si>
    <t>4.0 Financial Projection Summary</t>
  </si>
  <si>
    <t>Provides a rough sensitivity analysis on revenues and costs, providing a range for expectations</t>
  </si>
  <si>
    <t>Moderate</t>
  </si>
  <si>
    <t>High</t>
  </si>
  <si>
    <t>R1/R2/R3 University</t>
  </si>
  <si>
    <t>2.0 Control Panel, 4.1 Revenue &amp; Cost Breakdown</t>
  </si>
  <si>
    <t>The Carnegie Classification system categorizes U.S. universities based on research activity, degree offerings, and institutional characteristics—such as R1 (very high research), R2 (high research), and R3 (moderate research)—while non-doctoral U.S. universities and global institutions not covered by this framework are classified separately</t>
  </si>
  <si>
    <t>Non-Doctoral U.S. University</t>
  </si>
  <si>
    <t>Other Global Universities</t>
  </si>
  <si>
    <t>Phase 1 - Seed Development</t>
  </si>
  <si>
    <t>4.1 Revenue &amp; Cost Breakdown</t>
  </si>
  <si>
    <t>Phase 1 – Seed Development: Build and launch the core metrics platform with a small team; Phase 2 – Growth: scale the product, marketing, and grow/consider additional AI capabilities; Phase 3 – Expansion: mature operations, expand globally</t>
  </si>
  <si>
    <t>Phase 2 - Growth</t>
  </si>
  <si>
    <t>Phase 3 - Expansion</t>
  </si>
  <si>
    <t>Market Sizing and Financial Projections: Control Panel</t>
  </si>
  <si>
    <r>
      <rPr>
        <b/>
        <i/>
        <sz val="14"/>
        <color theme="1"/>
        <rFont val="Calibri"/>
        <charset val="134"/>
      </rPr>
      <t>1. Control Panel 1</t>
    </r>
    <r>
      <rPr>
        <i/>
        <sz val="14"/>
        <color theme="1"/>
        <rFont val="Calibri"/>
        <charset val="134"/>
      </rPr>
      <t xml:space="preserve"> Provides inputs and adjustable assumptions included in the market sizing</t>
    </r>
  </si>
  <si>
    <r>
      <rPr>
        <b/>
        <i/>
        <sz val="14"/>
        <color theme="1"/>
        <rFont val="Calibri"/>
        <charset val="134"/>
      </rPr>
      <t xml:space="preserve">2. Control Panel 2 </t>
    </r>
    <r>
      <rPr>
        <i/>
        <sz val="14"/>
        <color theme="1"/>
        <rFont val="Calibri"/>
        <charset val="134"/>
      </rPr>
      <t>Provides inputs and adjustable assumptions included in the revenue and cost model</t>
    </r>
  </si>
  <si>
    <t>Control Panel 1: Market Sizing</t>
  </si>
  <si>
    <t>Control Panel 2: Financial Projetions</t>
  </si>
  <si>
    <t>Modify/adjust figures in bolded blue</t>
  </si>
  <si>
    <t>Category</t>
  </si>
  <si>
    <t>Metric Description</t>
  </si>
  <si>
    <t>Figure</t>
  </si>
  <si>
    <t>Used in the market sizing? Y/N</t>
  </si>
  <si>
    <t>Source</t>
  </si>
  <si>
    <t>User</t>
  </si>
  <si>
    <t>Explanation/Justification/Source</t>
  </si>
  <si>
    <t>Academic Publishing</t>
  </si>
  <si>
    <t>$ size of the entire global academic publishing market</t>
  </si>
  <si>
    <t>Yes</t>
  </si>
  <si>
    <t>https://marketintelo.com/report/academic-publishing-market</t>
  </si>
  <si>
    <t>Revenue</t>
  </si>
  <si>
    <t>General - revenues</t>
  </si>
  <si>
    <t>% growth YoY in users (all users except universities)</t>
  </si>
  <si>
    <t>ASSUMPTON</t>
  </si>
  <si>
    <t>entire academic publishing global growht rate CAGR</t>
  </si>
  <si>
    <t>No</t>
  </si>
  <si>
    <t>% growth YoY in price (i.e.., user spend for non-universities) on subscription in years 1-3</t>
  </si>
  <si>
    <t>ASSUMPTION</t>
  </si>
  <si>
    <t>% of the academic journal market Liberata can capture</t>
  </si>
  <si>
    <t>ASSUMPTION - capturing half of the market that the top 5 journals currently have (which is around 60%)</t>
  </si>
  <si>
    <t>% growth YoY in price (i.e.., user spend for non-universities) on subscription in years 4-10</t>
  </si>
  <si>
    <t>% of the academic publishing market that the top 5 journals make up (El Selvier, Springer Nature, Wiley, Taylor &amp; Francis, Sage)</t>
  </si>
  <si>
    <t>https://www.linkedin.com/pulse/hidden-fortune-academic-publishers-closer-look-industrys-kannan-cmxac/</t>
  </si>
  <si>
    <t>Sensitivity analysis - Low projections scenario</t>
  </si>
  <si>
    <t>Percent of journal revenues coming from corporate subscriptions</t>
  </si>
  <si>
    <t>https://firstmonday.org/ojs/index.php/fm/article/view/4370/3685</t>
  </si>
  <si>
    <t>Sensitivity analysis - Moderate projections scenario</t>
  </si>
  <si>
    <t>Percent of journal revenues coming from advertising</t>
  </si>
  <si>
    <t>Sensitivity analysis - High projections scenario</t>
  </si>
  <si>
    <t>Percent of journal revenues coming from membership and personal subscriptions</t>
  </si>
  <si>
    <t>Universities</t>
  </si>
  <si>
    <t>Number of universities in year 1 with a Liberata subscription</t>
  </si>
  <si>
    <t>ASSUMPTION - requires convincing a reasonable amount to try Liberata on free trial</t>
  </si>
  <si>
    <t>Percent of journal revenues coming from author side payments</t>
  </si>
  <si>
    <t>% of universities in years 1 and 2 with a free trial Liberata subscription</t>
  </si>
  <si>
    <t>Percent of journal revenues coming from university library subscriptions</t>
  </si>
  <si>
    <t>% of universities in years 3 and beyond with a free trial Liberata subscription</t>
  </si>
  <si>
    <t>Academic metrics</t>
  </si>
  <si>
    <t>Average annual spend for academic metrics/bibliometrics per university - R1</t>
  </si>
  <si>
    <t>ASSUMPTION - based on Han's insights about the cost of Clarivate and SCOPUS</t>
  </si>
  <si>
    <t>% growth YoY in universities with a Liberata subscription - year 2</t>
  </si>
  <si>
    <t>ASSUMPTION - Network effects will occur as more users join</t>
  </si>
  <si>
    <t>Average annual spend on academic metrics/bibliometrics per university - R2</t>
  </si>
  <si>
    <t>ASSUMPTION - take 40% of R1 spend</t>
  </si>
  <si>
    <t>% growth YoY in universities with a Liberata subscription - years 3-5</t>
  </si>
  <si>
    <t>ASSUMPTION - May be more challenging to secure many universities once payment is required and free trials end</t>
  </si>
  <si>
    <t>Average annual spend on academic metrics/bibliometrics per university - R3</t>
  </si>
  <si>
    <t>ASSUMPTION - take 20% of R1 spend</t>
  </si>
  <si>
    <t>% growth YoY in universities with a Liberata subscription - years 6-8</t>
  </si>
  <si>
    <t>Average annual spend for academic metrics/bibliometrics per university - other</t>
  </si>
  <si>
    <t>ASSUMPTION - take 5% of R1 spend</t>
  </si>
  <si>
    <t>% growth YoY in universities with a Liberata subscription - years 9-10</t>
  </si>
  <si>
    <t>ASSUMPTION - Growth will slow as the capturable universities are reached</t>
  </si>
  <si>
    <t>Average annual spend for academic metrics/bibliometrics per university - global</t>
  </si>
  <si>
    <t>Price of bundle offered to universities - free trial period</t>
  </si>
  <si>
    <t>Free trials for universities to show value of the platform</t>
  </si>
  <si>
    <t>% of universities paying for academic metrics/bibliometrics - R1</t>
  </si>
  <si>
    <t>Starting price - R1 universities</t>
  </si>
  <si>
    <t>Must price Liberata much less than current journal subscription amounts</t>
  </si>
  <si>
    <t>% of universities paying for academic metrics/bibliometrics - R2</t>
  </si>
  <si>
    <t>Starting price - R2 universities</t>
  </si>
  <si>
    <t>R2 university price is 90% of R1 university price</t>
  </si>
  <si>
    <t>% of universities paying for academic metrics/bibliometrics - R3</t>
  </si>
  <si>
    <t>Starting price - R3 universities</t>
  </si>
  <si>
    <t>R3 university price is 80% of R1 university price</t>
  </si>
  <si>
    <t>% of universities paying for academic metrics/bibliometrics - other</t>
  </si>
  <si>
    <t>Starting price - non-doctoral U.S. universities</t>
  </si>
  <si>
    <t>Other U.S. university prices are 70% of R1 university price</t>
  </si>
  <si>
    <t>% of universities paying for academic metrics/bibliometrics - global</t>
  </si>
  <si>
    <t>Starting price - other global universities</t>
  </si>
  <si>
    <t>Other global university prices are 60% of R1 university price</t>
  </si>
  <si>
    <t>total # R1 research universities</t>
  </si>
  <si>
    <t>https://carnegieclassifications.acenet.edu/institutions/?inst=&amp;research2025%5B%5D=1</t>
  </si>
  <si>
    <t>% growth YoY in price for universities (i.e., university spend) years 1-3</t>
  </si>
  <si>
    <t>Liberata needs to gain market share and show value before increasing prices</t>
  </si>
  <si>
    <t>total # R2 research universities</t>
  </si>
  <si>
    <t>https://carnegieclassifications.acenet.edu/institutions/?inst=&amp;research2025%5B%5D=2</t>
  </si>
  <si>
    <t>% growth YoY in price for universities (i.e., university spend) years 4-10</t>
  </si>
  <si>
    <t>Universities will be willing to pay more for Liberata as its value is shown and as network effects occur</t>
  </si>
  <si>
    <t>total # R3 research universities</t>
  </si>
  <si>
    <t>https://robertkelchen.com/2021/12/16/how-colleges-carnegie-classifications-have-changed-over-time-2/#:~:text=Every%20three%20years%2C%20Indiana%20University's%20Center%20on,doesn't%20hesitate%20to%20share%20their%20opinions%20about</t>
  </si>
  <si>
    <t>[DO NOT CHANGE HERE - CHANGE IN MARKET SIZING PANEL]</t>
  </si>
  <si>
    <t>total # other research producing universities in the US</t>
  </si>
  <si>
    <t>CALCULATION</t>
  </si>
  <si>
    <t>total # other research universities globally</t>
  </si>
  <si>
    <t>academic metrics growth rate</t>
  </si>
  <si>
    <t>Unknown</t>
  </si>
  <si>
    <t>AI Licensing for academic publishing</t>
  </si>
  <si>
    <t>AI Licensing for Academic Publishing</t>
  </si>
  <si>
    <t>https://www.grandviewresearch.com/industry-analysis/ai-datasets-licensing-academic-research-publishing-market-report</t>
  </si>
  <si>
    <t>AI Licensing for Academic Publishing growth rate CAGR</t>
  </si>
  <si>
    <t>Think Tanks/Non-profits</t>
  </si>
  <si>
    <t>Number of think tanks/non-profits in years 1-5 with a Liberata subscription</t>
  </si>
  <si>
    <t>ASSUMPTION - conservative estimation that the focus of BD efforts will be on universities for the first five years</t>
  </si>
  <si>
    <t>AI Training Dataset Share of entire AI licensing market</t>
  </si>
  <si>
    <t>Number of think tanks/non-profits in year 6 with a Liberata subscription</t>
  </si>
  <si>
    <t>ASSUMPTION - there are around 2 million non profits in the US</t>
  </si>
  <si>
    <t>North america share of revenue for AI licensing market</t>
  </si>
  <si>
    <t>Cost of bundle offered to think tanks/non-profits</t>
  </si>
  <si>
    <t>% of the market Liberata can capture</t>
  </si>
  <si>
    <t>Government Organizations</t>
  </si>
  <si>
    <t>Number of government orgs in years 1-5 with a Liberata subscription</t>
  </si>
  <si>
    <t>General</t>
  </si>
  <si>
    <t># of research producing instutitions - US based</t>
  </si>
  <si>
    <t>https://nces.ed.gov/programs/digest/d18/tables/dt18_317.40.asp</t>
  </si>
  <si>
    <t>Number of  government orgs in year  6 with a Liberata subscription</t>
  </si>
  <si>
    <t>United states share of research publications in 2020</t>
  </si>
  <si>
    <t>https://research-and-innovation.ec.europa.eu/system/files/2022-07/ec_rtd_srip-2022-report-chapter-6.pdf#:~:text=Figure%206.1%2D1:%20World%20share%20of%20scientific%20publications(1)%2C,(2)BRIS:%20Brazil%2C%20Russia%2C%20India%20and%20South%20Africa.</t>
  </si>
  <si>
    <t>Cost of bundle offered to government organizations</t>
  </si>
  <si>
    <t># of research producing instutitions - Non-US</t>
  </si>
  <si>
    <t>Corporations</t>
  </si>
  <si>
    <t>Number of corporations in years 1-5 with a Liberata subscription</t>
  </si>
  <si>
    <t># of research producing instutitions - Globally</t>
  </si>
  <si>
    <t>Number of  corporations in year 6 with a Liberata subscription</t>
  </si>
  <si>
    <t>EdTech</t>
  </si>
  <si>
    <t>Academic software market size</t>
  </si>
  <si>
    <t>https://www.globalinsightservices.com/reports/academic-software-market/</t>
  </si>
  <si>
    <t>Cost of bundle offered to corporations</t>
  </si>
  <si>
    <t>Academic software industry growth rate (CAGR)</t>
  </si>
  <si>
    <t>Publishing Organizations</t>
  </si>
  <si>
    <t>Number of publishing organizations in years 1-5 with a Liberata subscription</t>
  </si>
  <si>
    <t>Number of publishing organizations in year 6 with a Liberata subscription</t>
  </si>
  <si>
    <t>Cost of bundle offered to Publishing organizations</t>
  </si>
  <si>
    <t>Rankings Organizations</t>
  </si>
  <si>
    <t>Number of rankings organizations in years 1-5 with a Liberata subscription</t>
  </si>
  <si>
    <t>Number of rankings organizations in year 6 with a Liberata subscription</t>
  </si>
  <si>
    <t>Cost of bundle offered to rankings organizations</t>
  </si>
  <si>
    <t>Costs</t>
  </si>
  <si>
    <t>General - costs</t>
  </si>
  <si>
    <t>Annual SG&amp;A % cost increase</t>
  </si>
  <si>
    <t>Annual cloud infrastructure % cost increase</t>
  </si>
  <si>
    <t>Annual salary &amp; wages &amp; cost increase</t>
  </si>
  <si>
    <t>Annual marketing &amp; outreach % cost increase</t>
  </si>
  <si>
    <t>Phase 1 costs</t>
  </si>
  <si>
    <t>Number of front end engineers hired</t>
  </si>
  <si>
    <t>Number of back end engineers hired</t>
  </si>
  <si>
    <t>Number of infrastructure/devops personnel hired</t>
  </si>
  <si>
    <t>Number of cybersecurity personnel hired</t>
  </si>
  <si>
    <t>Number of full stack engineers hired</t>
  </si>
  <si>
    <t>Number of technical managers hired</t>
  </si>
  <si>
    <t>Number of marketing and finance personnel hired</t>
  </si>
  <si>
    <t>Number of executive team members</t>
  </si>
  <si>
    <t>Front end engineer annual cost</t>
  </si>
  <si>
    <t>Back engineer annual cost</t>
  </si>
  <si>
    <t>Infrastructure/Devops personnel annual cost</t>
  </si>
  <si>
    <t>Cybersecurity personnel annual cost</t>
  </si>
  <si>
    <t>Full stack engineer annual cost</t>
  </si>
  <si>
    <t>Technical manager annual cost</t>
  </si>
  <si>
    <t>Marketing personnel annual cost</t>
  </si>
  <si>
    <t>Executive team member annual cost</t>
  </si>
  <si>
    <t>ASSUMPTION - this may need to be adjusted as time goes on</t>
  </si>
  <si>
    <t>Cloud Infrastructure annual costs</t>
  </si>
  <si>
    <t>SG&amp;A annual costs</t>
  </si>
  <si>
    <t>Marketing &amp; outreach annual costs</t>
  </si>
  <si>
    <t>Phase 2 costs</t>
  </si>
  <si>
    <t>Additional data engineers hired</t>
  </si>
  <si>
    <t>Data engineer annual cost</t>
  </si>
  <si>
    <t>CALCULATION - averaged cost of other engineers</t>
  </si>
  <si>
    <t>Marketing personnel annual % growth rate</t>
  </si>
  <si>
    <t>Other business functions personnel hired</t>
  </si>
  <si>
    <t>ASSUMPTION - includes accounting, finance, operations, etc</t>
  </si>
  <si>
    <t>Other business functions annual cost</t>
  </si>
  <si>
    <t>Other business functions annual % growth rate</t>
  </si>
  <si>
    <t>Leadership new annual cost (new annual cost after pay raise from Phase 1)</t>
  </si>
  <si>
    <t>Leadership new annual % growth rate</t>
  </si>
  <si>
    <t>AI training costs</t>
  </si>
  <si>
    <t>AI training annual % cost increase</t>
  </si>
  <si>
    <t>Phase 3 costs</t>
  </si>
  <si>
    <t>Office and equipment costs</t>
  </si>
  <si>
    <r>
      <rPr>
        <b/>
        <i/>
        <sz val="14"/>
        <color theme="1"/>
        <rFont val="Calibri"/>
        <charset val="134"/>
      </rPr>
      <t>1. Market Sizing Summary</t>
    </r>
    <r>
      <rPr>
        <i/>
        <sz val="14"/>
        <color theme="1"/>
        <rFont val="Calibri"/>
        <charset val="134"/>
      </rPr>
      <t xml:space="preserve"> Summarized findings from 3.1 Market Sizing Breakdown</t>
    </r>
  </si>
  <si>
    <t>Market</t>
  </si>
  <si>
    <t>Industry Growth Rate (CAGR)</t>
  </si>
  <si>
    <t>TAM</t>
  </si>
  <si>
    <t>SAM</t>
  </si>
  <si>
    <t>SOM</t>
  </si>
  <si>
    <t>Academic Metrics</t>
  </si>
  <si>
    <t>AI Licensing</t>
  </si>
  <si>
    <t>TOTALS</t>
  </si>
  <si>
    <t>Note: Although not used in market sizing calculations, the industry CAGR for academic/educational software is 8.8%</t>
  </si>
  <si>
    <t>Market Sizing Breakdown</t>
  </si>
  <si>
    <r>
      <rPr>
        <b/>
        <i/>
        <sz val="14"/>
        <color theme="1"/>
        <rFont val="Calibri"/>
        <charset val="134"/>
      </rPr>
      <t xml:space="preserve">1. Assumptions </t>
    </r>
    <r>
      <rPr>
        <i/>
        <sz val="14"/>
        <color theme="1"/>
        <rFont val="Calibri"/>
        <charset val="134"/>
      </rPr>
      <t>Details key decision points affecting the model</t>
    </r>
  </si>
  <si>
    <r>
      <rPr>
        <b/>
        <i/>
        <sz val="14"/>
        <color theme="1"/>
        <rFont val="Calibri"/>
        <charset val="134"/>
      </rPr>
      <t xml:space="preserve">2. Market Sizing by Sector </t>
    </r>
    <r>
      <rPr>
        <i/>
        <sz val="14"/>
        <color theme="1"/>
        <rFont val="Calibri"/>
        <charset val="134"/>
      </rPr>
      <t>Breaks down market sizing for three relevant sectors</t>
    </r>
  </si>
  <si>
    <t>Assumptions</t>
  </si>
  <si>
    <t>Universities conducting more research are 1) spending more and 2) more likely to spend money on academic metrics</t>
  </si>
  <si>
    <t>Liberata's patent and ability to maintain superior metrics enables it to capture the entire academic metrics market</t>
  </si>
  <si>
    <t>Liberata will be able to capture roughly a tenth of the AI licensing for academic publishing market</t>
  </si>
  <si>
    <t>1. Academic Publishing</t>
  </si>
  <si>
    <t>Level</t>
  </si>
  <si>
    <t>Method Description</t>
  </si>
  <si>
    <t>Total Figure</t>
  </si>
  <si>
    <t>Total Addressable Market (TAM)</t>
  </si>
  <si>
    <t>Based on global market size estimates from Market Intelo covering the broader academic publishing</t>
  </si>
  <si>
    <t>Serviceable Addressable Market (SAM)</t>
  </si>
  <si>
    <r>
      <rPr>
        <sz val="10"/>
        <color theme="1"/>
        <rFont val="Calibri"/>
        <charset val="134"/>
      </rPr>
      <t xml:space="preserve">Narrows this down to the segments Liberata can realistically target—subscriptions from university libraries, corporations, and individual users in addition to advertising—while excluding author-side APC article processing payments that don’t fit Liberata’s model
</t>
    </r>
    <r>
      <rPr>
        <i/>
        <sz val="10"/>
        <color theme="1"/>
        <rFont val="Calibri"/>
        <charset val="134"/>
      </rPr>
      <t>Method: TAM x relevant category percentages (e.g., subscriptions but NOT article processing charges)</t>
    </r>
  </si>
  <si>
    <t>Serviceable Obtainable Market (SOM)</t>
  </si>
  <si>
    <t>Reflects an assumed percentage of the market that Liberata can realistically capture as the industry gradually shifts from view-based to metric-based incentives, recognizing that part of the market will likely stay tied to legacy journal systems</t>
  </si>
  <si>
    <t>2. Academic Metrics</t>
  </si>
  <si>
    <t>Breakdown of categories</t>
  </si>
  <si>
    <t>Broken down figure</t>
  </si>
  <si>
    <r>
      <rPr>
        <sz val="10"/>
        <color theme="1"/>
        <rFont val="Calibri"/>
        <charset val="134"/>
      </rPr>
      <t xml:space="preserve">Calculated by multiplying the number of research-producing institutions globally—broken down by Carnegie Classifiers (R1, R2, R3, and other U.S. or international equivalents)—by their estimated annual spend on academic metrics, then adjusting for each group’s likelihood of paying for such tools
</t>
    </r>
    <r>
      <rPr>
        <i/>
        <sz val="10"/>
        <color theme="1"/>
        <rFont val="Calibri"/>
        <charset val="134"/>
      </rPr>
      <t>Method: Number of each type of university x spend based on the type of university x percentage likelihood of each type of university to spend on academic metrics</t>
    </r>
  </si>
  <si>
    <t>R1 University</t>
  </si>
  <si>
    <t>R2 University</t>
  </si>
  <si>
    <t>R3 University</t>
  </si>
  <si>
    <t>Other US non-doctoral instutiton</t>
  </si>
  <si>
    <t>Other global university</t>
  </si>
  <si>
    <t>Assumes Liberata’s superior academic metrics position it to capture the entire academic metrics segment globally</t>
  </si>
  <si>
    <t>Reflects Liberata’s ability to scale as a platform and maintain that market over time, supported by its patent and sustained competitive advantage</t>
  </si>
  <si>
    <t>3. AI Licensing</t>
  </si>
  <si>
    <t>Based on global market size data from Grandview Research for the AI datasets and licensing market</t>
  </si>
  <si>
    <t>Represents the portion of the market driven by LLM producers purchasing training data, calculated as 32.4% of the total per Grandview Research</t>
  </si>
  <si>
    <t>Reflects the share Liberata can realistically capture as its user base and dataset quality grow—driven by improved research data and replication incentives—calculated by applying an assumed market capture rate to the SAM</t>
  </si>
  <si>
    <t>Financial Projection Summary</t>
  </si>
  <si>
    <r>
      <rPr>
        <b/>
        <i/>
        <sz val="14"/>
        <color theme="1"/>
        <rFont val="Calibri"/>
        <charset val="134"/>
      </rPr>
      <t>1. Revenue Projections</t>
    </r>
    <r>
      <rPr>
        <i/>
        <sz val="14"/>
        <color theme="1"/>
        <rFont val="Calibri"/>
        <charset val="134"/>
      </rPr>
      <t xml:space="preserve"> Breaks down revenue expectations across various users</t>
    </r>
  </si>
  <si>
    <r>
      <rPr>
        <b/>
        <i/>
        <sz val="14"/>
        <color theme="1"/>
        <rFont val="Calibri"/>
        <charset val="134"/>
      </rPr>
      <t>2. Cost Projections</t>
    </r>
    <r>
      <rPr>
        <i/>
        <sz val="14"/>
        <color theme="1"/>
        <rFont val="Calibri"/>
        <charset val="134"/>
      </rPr>
      <t xml:space="preserve"> Breaks down costs across OpEx and CapEx</t>
    </r>
  </si>
  <si>
    <r>
      <rPr>
        <b/>
        <i/>
        <sz val="14"/>
        <color theme="1"/>
        <rFont val="Calibri"/>
        <charset val="134"/>
      </rPr>
      <t>3. Profit Projections</t>
    </r>
    <r>
      <rPr>
        <i/>
        <sz val="14"/>
        <color theme="1"/>
        <rFont val="Calibri"/>
        <charset val="134"/>
      </rPr>
      <t xml:space="preserve"> Summarizes profit expectations based on revenue and costs </t>
    </r>
  </si>
  <si>
    <t>Dropdown adjustment</t>
  </si>
  <si>
    <t>Sensitivity Analysis - Low/Moderate/High revenue projections</t>
  </si>
  <si>
    <t>Revenue Projections</t>
  </si>
  <si>
    <t>User Types</t>
  </si>
  <si>
    <t>Institutions</t>
  </si>
  <si>
    <t>Think Tanks/Non-Profits</t>
  </si>
  <si>
    <t>Government</t>
  </si>
  <si>
    <t>Instutions - Totals</t>
  </si>
  <si>
    <t>Private Industry</t>
  </si>
  <si>
    <t>Private Industry - Totals</t>
  </si>
  <si>
    <t>TOTAL</t>
  </si>
  <si>
    <t>Sensitivity Analysis - Low/Moderate/High cost projections</t>
  </si>
  <si>
    <t>Cost Projections</t>
  </si>
  <si>
    <t>Operating Expenses (OpEx)</t>
  </si>
  <si>
    <t>Salary &amp; Wages</t>
  </si>
  <si>
    <t>Cloud &amp; Compute + AI Training</t>
  </si>
  <si>
    <t>Marketing &amp; Outreach</t>
  </si>
  <si>
    <t>SG&amp;A</t>
  </si>
  <si>
    <t>OpEx - Totals</t>
  </si>
  <si>
    <t>Capital Expenditures (CapEx)</t>
  </si>
  <si>
    <t>Office and other expenditures</t>
  </si>
  <si>
    <t>CapEx - Totals</t>
  </si>
  <si>
    <t>Profit Projections</t>
  </si>
  <si>
    <t>Projected Revenues</t>
  </si>
  <si>
    <t>Projected Costs</t>
  </si>
  <si>
    <t>EBIT</t>
  </si>
  <si>
    <t>Financial Projection Breakdown</t>
  </si>
  <si>
    <r>
      <rPr>
        <b/>
        <i/>
        <sz val="14"/>
        <color theme="1"/>
        <rFont val="Calibri"/>
        <charset val="134"/>
      </rPr>
      <t>1. Assumptions</t>
    </r>
    <r>
      <rPr>
        <i/>
        <sz val="14"/>
        <color theme="1"/>
        <rFont val="Calibri"/>
        <charset val="134"/>
      </rPr>
      <t xml:space="preserve"> Details key decision points affecting the model</t>
    </r>
  </si>
  <si>
    <r>
      <rPr>
        <b/>
        <i/>
        <sz val="14"/>
        <color theme="1"/>
        <rFont val="Calibri"/>
        <charset val="134"/>
      </rPr>
      <t>2. Revenues</t>
    </r>
    <r>
      <rPr>
        <i/>
        <sz val="14"/>
        <color theme="1"/>
        <rFont val="Calibri"/>
        <charset val="134"/>
      </rPr>
      <t xml:space="preserve"> Breaks down revenue expectations across various users</t>
    </r>
  </si>
  <si>
    <r>
      <rPr>
        <b/>
        <i/>
        <sz val="14"/>
        <color theme="1"/>
        <rFont val="Calibri"/>
        <charset val="134"/>
      </rPr>
      <t xml:space="preserve">3. Costs </t>
    </r>
    <r>
      <rPr>
        <i/>
        <sz val="14"/>
        <color theme="1"/>
        <rFont val="Calibri"/>
        <charset val="134"/>
      </rPr>
      <t>Breaks down costs across OpEx and CapEx</t>
    </r>
  </si>
  <si>
    <t>Individual users are excluded from the model as they represent a negligible share of total revenue</t>
  </si>
  <si>
    <t>Revenue is based solely on bundled product offerings, with no income for individual features</t>
  </si>
  <si>
    <t>The model focuses exclusively on targeting universities during the first five years</t>
  </si>
  <si>
    <t>University adoption growth rates vary over time</t>
  </si>
  <si>
    <t>Universities receive one-year free trials, after which all transition to paid subscriptions by year two</t>
  </si>
  <si>
    <t>The model excludes additional revenue streams such as advertising, data licensing, or LLM partnerships</t>
  </si>
  <si>
    <t>R1 universities are captured first through free trials, followed by sequential adoption by R2 and R3 institutions + non-doctoral U.S. and global universities</t>
  </si>
  <si>
    <t>Costs are based on phased rollout of features beginning in 2026, 2028, and 2030 respectively</t>
  </si>
  <si>
    <t>AI training operations commence in phase two of implementation</t>
  </si>
  <si>
    <t>Capital expenditures (e.g., office) begin midway through phase three (past 2030)</t>
  </si>
  <si>
    <t>Users</t>
  </si>
  <si>
    <t>Revenues</t>
  </si>
  <si>
    <t>User 1 - Universities</t>
  </si>
  <si>
    <t>Free trial period (note: end of free trial period for universities corresponds with planned feature releases for 2028)</t>
  </si>
  <si>
    <t>% growth in universities with Liberata subscriptions</t>
  </si>
  <si>
    <t>N/A</t>
  </si>
  <si>
    <t>Total # of universities with a Liberata subscription</t>
  </si>
  <si>
    <t>Number of universities with one year free trial subscriptions</t>
  </si>
  <si>
    <t>Number of R1 universities with paid subscriptions</t>
  </si>
  <si>
    <t>Number of R2 universities with paid subscriptions</t>
  </si>
  <si>
    <t>Number of R3 universities with paid subscriptions</t>
  </si>
  <si>
    <t>Number of other U.S.  universities with paid subscriptions</t>
  </si>
  <si>
    <t>Number of other global universities with paid subscriptions</t>
  </si>
  <si>
    <t>% increase in price</t>
  </si>
  <si>
    <t>Spend per R1 university on paid subscriptions</t>
  </si>
  <si>
    <t>Spend per R2 university on paid subscriptions</t>
  </si>
  <si>
    <t>Spend per R3 university on paid subscriptions</t>
  </si>
  <si>
    <t>Spend per other U.S. university on paid subscriptions</t>
  </si>
  <si>
    <t>Spend per other global university on paid subscriptions</t>
  </si>
  <si>
    <t>User 2 - Think Tanks/Non-Profits</t>
  </si>
  <si>
    <t>% growth in users with subscriptions</t>
  </si>
  <si>
    <t>Number of think tanks/non-profits with subscriptions</t>
  </si>
  <si>
    <t>Spend per think tank/non-profit on subscriptions</t>
  </si>
  <si>
    <t>User 3 - Government Organization</t>
  </si>
  <si>
    <t>Number of government bodies with subscriptions</t>
  </si>
  <si>
    <t>Spend per government body on subscriptions</t>
  </si>
  <si>
    <t>User 4 - Corporations</t>
  </si>
  <si>
    <t>Number of corporations with subscriptions</t>
  </si>
  <si>
    <t>Spend per corporation on subscriptions</t>
  </si>
  <si>
    <t>User 5 - Publishing Organizations</t>
  </si>
  <si>
    <t>Number of publishing orgs with subscriptions</t>
  </si>
  <si>
    <t>Spend per publishing org on subscriptions</t>
  </si>
  <si>
    <t>User 6 - Rankings Organizations</t>
  </si>
  <si>
    <t>Number of rankings orgs with subscriptions</t>
  </si>
  <si>
    <t>Spend per rankings org on subscriptions</t>
  </si>
  <si>
    <t>Phase 3 - Scaling</t>
  </si>
  <si>
    <t>Salaries &amp; Wages:</t>
  </si>
  <si>
    <t>Generic annual % increase of salary/wages (used for SWE + years 1-2 management)</t>
  </si>
  <si>
    <t>Software engineering</t>
  </si>
  <si>
    <t>Marketing</t>
  </si>
  <si>
    <t>Annual % increase in marketing personnel</t>
  </si>
  <si>
    <t>Other business functions (e.g., finance, ops, accounting)</t>
  </si>
  <si>
    <t>Annual % increase in other business functions personnel</t>
  </si>
  <si>
    <t>Management</t>
  </si>
  <si>
    <t>Cloud/Compute costs</t>
  </si>
  <si>
    <t>Annual % increase in of cloud compute costs</t>
  </si>
  <si>
    <t>Marketing/Outreach costs</t>
  </si>
  <si>
    <t>Annual % increase in of marketing/outreach costs</t>
  </si>
  <si>
    <t>SG&amp;A Costs</t>
  </si>
  <si>
    <t>Annual % increase in of SG&amp;A</t>
  </si>
  <si>
    <t>AI Training Costs</t>
  </si>
  <si>
    <t>Annual % increase in of AI training costs</t>
  </si>
  <si>
    <t>Increase_in_Foot_Traffic</t>
  </si>
  <si>
    <t>Increase_in_Conversion</t>
  </si>
  <si>
    <t>Increase_in_Average_Transaction_Value</t>
  </si>
  <si>
    <t>Store_Renovations</t>
  </si>
  <si>
    <t>Labor_Changes</t>
  </si>
  <si>
    <t>Marketing_Costs</t>
  </si>
  <si>
    <t>Income_Lost_During_Transition</t>
  </si>
  <si>
    <t>Operating_Costs</t>
  </si>
  <si>
    <t>Scenario_Toggle</t>
  </si>
  <si>
    <t>1_Low</t>
  </si>
  <si>
    <t>2_Mid</t>
  </si>
  <si>
    <t>3_High</t>
  </si>
</sst>
</file>

<file path=xl/styles.xml><?xml version="1.0" encoding="utf-8"?>
<styleSheet xmlns="http://schemas.openxmlformats.org/spreadsheetml/2006/main" xmlns:xr9="http://schemas.microsoft.com/office/spreadsheetml/2016/revision9">
  <numFmts count="9">
    <numFmt numFmtId="41" formatCode="_ * #,##0_ ;_ * \-#,##0_ ;_ * &quot;-&quot;_ ;_ @_ "/>
    <numFmt numFmtId="42" formatCode="_ &quot;￥&quot;* #,##0_ ;_ &quot;￥&quot;* \-#,##0_ ;_ &quot;￥&quot;* &quot;-&quot;_ ;_ @_ "/>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quot;$&quot;#,##0"/>
    <numFmt numFmtId="181" formatCode="0.0"/>
    <numFmt numFmtId="182" formatCode="mmmm\ yyyy"/>
  </numFmts>
  <fonts count="58">
    <font>
      <sz val="11"/>
      <color theme="1"/>
      <name val="等线"/>
      <charset val="134"/>
      <scheme val="minor"/>
    </font>
    <font>
      <b/>
      <sz val="11"/>
      <color theme="0"/>
      <name val="等线"/>
      <charset val="134"/>
      <scheme val="minor"/>
    </font>
    <font>
      <sz val="11"/>
      <color theme="1"/>
      <name val="Calibri"/>
      <charset val="134"/>
    </font>
    <font>
      <b/>
      <sz val="26"/>
      <color theme="1"/>
      <name val="Calibri"/>
      <charset val="134"/>
    </font>
    <font>
      <i/>
      <sz val="14"/>
      <color theme="1"/>
      <name val="Calibri"/>
      <charset val="134"/>
    </font>
    <font>
      <b/>
      <sz val="16"/>
      <color theme="1"/>
      <name val="Calibri"/>
      <charset val="134"/>
    </font>
    <font>
      <i/>
      <sz val="11"/>
      <color theme="1"/>
      <name val="Calibri"/>
      <charset val="134"/>
    </font>
    <font>
      <i/>
      <sz val="12"/>
      <color theme="1"/>
      <name val="Calibri"/>
      <charset val="134"/>
    </font>
    <font>
      <sz val="10"/>
      <color theme="0"/>
      <name val="Calibri"/>
      <charset val="134"/>
    </font>
    <font>
      <i/>
      <sz val="10"/>
      <name val="Calibri"/>
      <charset val="134"/>
    </font>
    <font>
      <i/>
      <sz val="10"/>
      <color theme="1"/>
      <name val="Calibri"/>
      <charset val="134"/>
    </font>
    <font>
      <i/>
      <u/>
      <sz val="10"/>
      <name val="Calibri"/>
      <charset val="134"/>
    </font>
    <font>
      <u/>
      <sz val="10"/>
      <color theme="1"/>
      <name val="Calibri"/>
      <charset val="134"/>
    </font>
    <font>
      <sz val="10"/>
      <name val="Calibri"/>
      <charset val="134"/>
    </font>
    <font>
      <sz val="10"/>
      <color theme="1"/>
      <name val="Calibri"/>
      <charset val="134"/>
    </font>
    <font>
      <i/>
      <u/>
      <sz val="10"/>
      <color theme="1"/>
      <name val="Calibri"/>
      <charset val="134"/>
    </font>
    <font>
      <b/>
      <sz val="10"/>
      <color theme="1"/>
      <name val="Calibri"/>
      <charset val="134"/>
    </font>
    <font>
      <u/>
      <sz val="11"/>
      <color theme="1"/>
      <name val="Calibri"/>
      <charset val="134"/>
    </font>
    <font>
      <b/>
      <sz val="10"/>
      <name val="Calibri"/>
      <charset val="134"/>
    </font>
    <font>
      <b/>
      <sz val="11"/>
      <color rgb="FF070299"/>
      <name val="Calibri"/>
      <charset val="134"/>
    </font>
    <font>
      <b/>
      <sz val="11"/>
      <color theme="0"/>
      <name val="Calibri"/>
      <charset val="134"/>
    </font>
    <font>
      <b/>
      <sz val="10"/>
      <color rgb="FF070299"/>
      <name val="Calibri"/>
      <charset val="134"/>
    </font>
    <font>
      <u/>
      <sz val="10"/>
      <color rgb="FF0000FF"/>
      <name val="Calibri"/>
      <charset val="134"/>
    </font>
    <font>
      <b/>
      <i/>
      <sz val="9"/>
      <color theme="1"/>
      <name val="Arial Bold Italic"/>
      <charset val="134"/>
    </font>
    <font>
      <b/>
      <i/>
      <sz val="14"/>
      <color theme="1"/>
      <name val="Calibri"/>
      <charset val="134"/>
    </font>
    <font>
      <b/>
      <sz val="14"/>
      <color theme="1"/>
      <name val="Calibri"/>
      <charset val="134"/>
    </font>
    <font>
      <sz val="10"/>
      <color rgb="FF000000"/>
      <name val="Calibri"/>
      <charset val="134"/>
    </font>
    <font>
      <b/>
      <i/>
      <sz val="10"/>
      <color rgb="FF070299"/>
      <name val="Calibri"/>
      <charset val="134"/>
    </font>
    <font>
      <b/>
      <sz val="14"/>
      <color rgb="FF000000"/>
      <name val="Calibri"/>
      <charset val="134"/>
    </font>
    <font>
      <sz val="11"/>
      <color rgb="FF000000"/>
      <name val="Calibri"/>
      <charset val="134"/>
    </font>
    <font>
      <sz val="10"/>
      <color rgb="FFFFFFFF"/>
      <name val="Calibri"/>
      <charset val="134"/>
    </font>
    <font>
      <sz val="10"/>
      <color rgb="FF000000"/>
      <name val="calibri"/>
      <charset val="134"/>
    </font>
    <font>
      <b/>
      <u/>
      <sz val="14"/>
      <color theme="1"/>
      <name val="Calibri"/>
      <charset val="134"/>
    </font>
    <font>
      <b/>
      <sz val="12"/>
      <color theme="1"/>
      <name val="Calibri"/>
      <charset val="134"/>
    </font>
    <font>
      <b/>
      <sz val="11"/>
      <color theme="1"/>
      <name val="Calibri"/>
      <charset val="134"/>
    </font>
    <font>
      <sz val="11"/>
      <color rgb="FFFF0000"/>
      <name val="Calibri"/>
      <charset val="134"/>
    </font>
    <font>
      <sz val="11"/>
      <name val="Calibri"/>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4"/>
      <scheme val="minor"/>
    </font>
    <font>
      <sz val="10"/>
      <name val="宋体"/>
      <charset val="134"/>
    </font>
  </fonts>
  <fills count="46">
    <fill>
      <patternFill patternType="none"/>
    </fill>
    <fill>
      <patternFill patternType="gray125"/>
    </fill>
    <fill>
      <patternFill patternType="solid">
        <fgColor theme="0" tint="-0.499984740745262"/>
        <bgColor indexed="64"/>
      </patternFill>
    </fill>
    <fill>
      <patternFill patternType="solid">
        <fgColor theme="0" tint="-0.149998474074526"/>
        <bgColor indexed="64"/>
      </patternFill>
    </fill>
    <fill>
      <patternFill patternType="solid">
        <fgColor theme="1"/>
        <bgColor rgb="FFD9D9D9"/>
      </patternFill>
    </fill>
    <fill>
      <patternFill patternType="solid">
        <fgColor rgb="FF070299"/>
        <bgColor rgb="FFD9D9D9"/>
      </patternFill>
    </fill>
    <fill>
      <patternFill patternType="solid">
        <fgColor theme="0" tint="-0.0499893185216834"/>
        <bgColor indexed="64"/>
      </patternFill>
    </fill>
    <fill>
      <patternFill patternType="solid">
        <fgColor rgb="FFCDCCFF"/>
        <bgColor indexed="64"/>
      </patternFill>
    </fill>
    <fill>
      <patternFill patternType="solid">
        <fgColor theme="0" tint="-0.349986266670736"/>
        <bgColor indexed="64"/>
      </patternFill>
    </fill>
    <fill>
      <patternFill patternType="solid">
        <fgColor rgb="FFCDCCFF"/>
        <bgColor rgb="FFD9D9D9"/>
      </patternFill>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F2F2F2"/>
        <bgColor rgb="FF000000"/>
      </patternFill>
    </fill>
    <fill>
      <patternFill patternType="solid">
        <fgColor theme="0" tint="-0.149998474074526"/>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bottom style="thin">
        <color theme="4" tint="0.399975585192419"/>
      </bottom>
      <diagonal/>
    </border>
    <border>
      <left/>
      <right/>
      <top style="thin">
        <color theme="4" tint="0.399975585192419"/>
      </top>
      <bottom style="thin">
        <color theme="4" tint="0.399975585192419"/>
      </bottom>
      <diagonal/>
    </border>
    <border>
      <left/>
      <right/>
      <top/>
      <bottom style="medium">
        <color auto="1"/>
      </bottom>
      <diagonal/>
    </border>
    <border>
      <left/>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medium">
        <color auto="1"/>
      </top>
      <bottom/>
      <diagonal/>
    </border>
    <border>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xf numFmtId="0" fontId="38" fillId="0" borderId="0" applyNumberFormat="0" applyFill="0" applyBorder="0" applyAlignment="0" applyProtection="0">
      <alignment vertical="center"/>
    </xf>
    <xf numFmtId="0" fontId="0" fillId="15" borderId="17"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18" applyNumberFormat="0" applyFill="0" applyAlignment="0" applyProtection="0">
      <alignment vertical="center"/>
    </xf>
    <xf numFmtId="0" fontId="43" fillId="0" borderId="18" applyNumberFormat="0" applyFill="0" applyAlignment="0" applyProtection="0">
      <alignment vertical="center"/>
    </xf>
    <xf numFmtId="0" fontId="44" fillId="0" borderId="19" applyNumberFormat="0" applyFill="0" applyAlignment="0" applyProtection="0">
      <alignment vertical="center"/>
    </xf>
    <xf numFmtId="0" fontId="44" fillId="0" borderId="0" applyNumberFormat="0" applyFill="0" applyBorder="0" applyAlignment="0" applyProtection="0">
      <alignment vertical="center"/>
    </xf>
    <xf numFmtId="0" fontId="45" fillId="16" borderId="20" applyNumberFormat="0" applyAlignment="0" applyProtection="0">
      <alignment vertical="center"/>
    </xf>
    <xf numFmtId="0" fontId="46" fillId="17" borderId="21" applyNumberFormat="0" applyAlignment="0" applyProtection="0">
      <alignment vertical="center"/>
    </xf>
    <xf numFmtId="0" fontId="47" fillId="17" borderId="20" applyNumberFormat="0" applyAlignment="0" applyProtection="0">
      <alignment vertical="center"/>
    </xf>
    <xf numFmtId="0" fontId="48" fillId="18" borderId="22" applyNumberFormat="0" applyAlignment="0" applyProtection="0">
      <alignment vertical="center"/>
    </xf>
    <xf numFmtId="0" fontId="49" fillId="0" borderId="23" applyNumberFormat="0" applyFill="0" applyAlignment="0" applyProtection="0">
      <alignment vertical="center"/>
    </xf>
    <xf numFmtId="0" fontId="50" fillId="0" borderId="24" applyNumberFormat="0" applyFill="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4" fillId="25" borderId="0" applyNumberFormat="0" applyBorder="0" applyAlignment="0" applyProtection="0">
      <alignment vertical="center"/>
    </xf>
    <xf numFmtId="0" fontId="54" fillId="26"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4" fillId="29" borderId="0" applyNumberFormat="0" applyBorder="0" applyAlignment="0" applyProtection="0">
      <alignment vertical="center"/>
    </xf>
    <xf numFmtId="0" fontId="54" fillId="30"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33" borderId="0" applyNumberFormat="0" applyBorder="0" applyAlignment="0" applyProtection="0">
      <alignment vertical="center"/>
    </xf>
    <xf numFmtId="0" fontId="54" fillId="34" borderId="0" applyNumberFormat="0" applyBorder="0" applyAlignment="0" applyProtection="0">
      <alignment vertical="center"/>
    </xf>
    <xf numFmtId="0" fontId="55" fillId="35" borderId="0" applyNumberFormat="0" applyBorder="0" applyAlignment="0" applyProtection="0">
      <alignment vertical="center"/>
    </xf>
    <xf numFmtId="0" fontId="55" fillId="36" borderId="0" applyNumberFormat="0" applyBorder="0" applyAlignment="0" applyProtection="0">
      <alignment vertical="center"/>
    </xf>
    <xf numFmtId="0" fontId="54" fillId="37" borderId="0" applyNumberFormat="0" applyBorder="0" applyAlignment="0" applyProtection="0">
      <alignment vertical="center"/>
    </xf>
    <xf numFmtId="0" fontId="54" fillId="38" borderId="0" applyNumberFormat="0" applyBorder="0" applyAlignment="0" applyProtection="0">
      <alignment vertical="center"/>
    </xf>
    <xf numFmtId="0" fontId="55" fillId="39" borderId="0" applyNumberFormat="0" applyBorder="0" applyAlignment="0" applyProtection="0">
      <alignment vertical="center"/>
    </xf>
    <xf numFmtId="0" fontId="55" fillId="40" borderId="0" applyNumberFormat="0" applyBorder="0" applyAlignment="0" applyProtection="0">
      <alignment vertical="center"/>
    </xf>
    <xf numFmtId="0" fontId="54" fillId="41" borderId="0" applyNumberFormat="0" applyBorder="0" applyAlignment="0" applyProtection="0">
      <alignment vertical="center"/>
    </xf>
    <xf numFmtId="0" fontId="54" fillId="42" borderId="0" applyNumberFormat="0" applyBorder="0" applyAlignment="0" applyProtection="0">
      <alignment vertical="center"/>
    </xf>
    <xf numFmtId="0" fontId="55" fillId="43" borderId="0" applyNumberFormat="0" applyBorder="0" applyAlignment="0" applyProtection="0">
      <alignment vertical="center"/>
    </xf>
    <xf numFmtId="0" fontId="55" fillId="44" borderId="0" applyNumberFormat="0" applyBorder="0" applyAlignment="0" applyProtection="0">
      <alignment vertical="center"/>
    </xf>
    <xf numFmtId="0" fontId="54" fillId="45" borderId="0" applyNumberFormat="0" applyBorder="0" applyAlignment="0" applyProtection="0">
      <alignment vertical="center"/>
    </xf>
    <xf numFmtId="176" fontId="56" fillId="0" borderId="0" applyFont="0" applyFill="0" applyBorder="0" applyAlignment="0" applyProtection="0"/>
    <xf numFmtId="177" fontId="56" fillId="0" borderId="0" applyFont="0" applyFill="0" applyBorder="0" applyAlignment="0" applyProtection="0"/>
    <xf numFmtId="0" fontId="0" fillId="0" borderId="0"/>
    <xf numFmtId="0" fontId="56" fillId="0" borderId="0"/>
    <xf numFmtId="9" fontId="56" fillId="0" borderId="0" applyFont="0" applyFill="0" applyBorder="0" applyAlignment="0" applyProtection="0"/>
  </cellStyleXfs>
  <cellXfs count="266">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wrapText="1"/>
    </xf>
    <xf numFmtId="0" fontId="2" fillId="0" borderId="0" xfId="0" applyFont="1" applyAlignment="1">
      <alignment vertical="center"/>
    </xf>
    <xf numFmtId="0" fontId="2" fillId="0" borderId="0" xfId="0" applyFont="1"/>
    <xf numFmtId="0" fontId="2" fillId="0" borderId="0" xfId="0" applyFont="1" applyAlignment="1">
      <alignment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2" fillId="0" borderId="3" xfId="0" applyFont="1" applyBorder="1"/>
    <xf numFmtId="0" fontId="2" fillId="0" borderId="3" xfId="0" applyFont="1" applyBorder="1" applyAlignment="1">
      <alignment wrapText="1"/>
    </xf>
    <xf numFmtId="0" fontId="5"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xf>
    <xf numFmtId="0" fontId="6" fillId="0" borderId="0" xfId="0" applyFont="1" applyAlignment="1">
      <alignment horizontal="left" wrapText="1"/>
    </xf>
    <xf numFmtId="0" fontId="7" fillId="0" borderId="0" xfId="0" applyFont="1" applyAlignment="1">
      <alignment wrapText="1"/>
    </xf>
    <xf numFmtId="0" fontId="6" fillId="0" borderId="4" xfId="0" applyFont="1" applyBorder="1" applyAlignment="1">
      <alignment horizontal="center" wrapText="1"/>
    </xf>
    <xf numFmtId="0" fontId="8" fillId="4" borderId="0" xfId="0" applyFont="1" applyFill="1" applyAlignment="1">
      <alignment horizontal="left" vertical="center" wrapText="1"/>
    </xf>
    <xf numFmtId="0" fontId="8" fillId="5" borderId="0" xfId="0" applyFont="1" applyFill="1" applyAlignment="1">
      <alignment horizontal="center" vertical="center" wrapText="1"/>
    </xf>
    <xf numFmtId="0" fontId="9" fillId="0" borderId="0" xfId="0" applyFont="1" applyAlignment="1">
      <alignment horizontal="left" vertical="center" wrapText="1"/>
    </xf>
    <xf numFmtId="9" fontId="10" fillId="0" borderId="0" xfId="3" applyFont="1" applyFill="1" applyBorder="1" applyAlignment="1">
      <alignment horizontal="center" vertical="center" wrapText="1"/>
    </xf>
    <xf numFmtId="0" fontId="11" fillId="0" borderId="0" xfId="0" applyFont="1" applyAlignment="1">
      <alignment horizontal="left" vertical="center" wrapText="1"/>
    </xf>
    <xf numFmtId="178" fontId="12" fillId="0" borderId="0" xfId="1" applyNumberFormat="1" applyFont="1" applyFill="1" applyBorder="1" applyAlignment="1">
      <alignment horizontal="center" vertical="center" wrapText="1"/>
    </xf>
    <xf numFmtId="0" fontId="13" fillId="0" borderId="0" xfId="0" applyFont="1" applyAlignment="1">
      <alignment horizontal="left" vertical="center" wrapText="1"/>
    </xf>
    <xf numFmtId="178" fontId="14" fillId="0" borderId="0" xfId="1" applyNumberFormat="1" applyFont="1" applyFill="1" applyBorder="1" applyAlignment="1">
      <alignment horizontal="center" vertical="center" wrapText="1"/>
    </xf>
    <xf numFmtId="178" fontId="10" fillId="0" borderId="0" xfId="1" applyNumberFormat="1" applyFont="1" applyFill="1" applyBorder="1" applyAlignment="1">
      <alignment horizontal="center" vertical="center" wrapText="1"/>
    </xf>
    <xf numFmtId="178" fontId="14" fillId="6" borderId="0" xfId="1" applyNumberFormat="1" applyFont="1" applyFill="1" applyBorder="1" applyAlignment="1">
      <alignment horizontal="center" vertical="center" wrapText="1"/>
    </xf>
    <xf numFmtId="0" fontId="13" fillId="0" borderId="4" xfId="0" applyFont="1" applyBorder="1" applyAlignment="1">
      <alignment horizontal="left" vertical="center" wrapText="1"/>
    </xf>
    <xf numFmtId="178" fontId="14" fillId="6" borderId="4" xfId="1" applyNumberFormat="1" applyFont="1" applyFill="1" applyBorder="1" applyAlignment="1">
      <alignment horizontal="center" vertical="center" wrapText="1"/>
    </xf>
    <xf numFmtId="0" fontId="13" fillId="0" borderId="0" xfId="0" applyFont="1" applyAlignment="1">
      <alignment wrapText="1"/>
    </xf>
    <xf numFmtId="179" fontId="14" fillId="0" borderId="0" xfId="2" applyNumberFormat="1" applyFont="1" applyFill="1" applyBorder="1" applyAlignment="1">
      <alignment wrapText="1"/>
    </xf>
    <xf numFmtId="0" fontId="13" fillId="0" borderId="4" xfId="0" applyFont="1" applyBorder="1" applyAlignment="1">
      <alignment wrapText="1"/>
    </xf>
    <xf numFmtId="179" fontId="14" fillId="0" borderId="4" xfId="2" applyNumberFormat="1" applyFont="1" applyFill="1" applyBorder="1" applyAlignment="1">
      <alignment wrapText="1"/>
    </xf>
    <xf numFmtId="0" fontId="13" fillId="6" borderId="0" xfId="0" applyFont="1" applyFill="1" applyAlignment="1">
      <alignment vertical="center" wrapText="1"/>
    </xf>
    <xf numFmtId="179" fontId="14" fillId="6" borderId="0" xfId="2" applyNumberFormat="1" applyFont="1" applyFill="1" applyBorder="1" applyAlignment="1">
      <alignment vertical="center" wrapText="1"/>
    </xf>
    <xf numFmtId="0" fontId="7" fillId="0" borderId="0" xfId="0" applyFont="1" applyAlignment="1">
      <alignment vertical="center" wrapText="1"/>
    </xf>
    <xf numFmtId="0" fontId="2" fillId="0" borderId="0" xfId="0" applyFont="1" applyAlignment="1">
      <alignment vertical="center" wrapText="1"/>
    </xf>
    <xf numFmtId="176" fontId="14" fillId="0" borderId="0" xfId="1" applyFont="1" applyFill="1" applyBorder="1" applyAlignment="1">
      <alignment vertical="center" wrapText="1"/>
    </xf>
    <xf numFmtId="0" fontId="6" fillId="0" borderId="0" xfId="0" applyFont="1"/>
    <xf numFmtId="178" fontId="15" fillId="0" borderId="0" xfId="1" applyNumberFormat="1" applyFont="1" applyFill="1" applyBorder="1" applyAlignment="1">
      <alignment horizontal="center" vertical="center" wrapText="1"/>
    </xf>
    <xf numFmtId="178" fontId="14" fillId="0" borderId="0" xfId="1" applyNumberFormat="1" applyFont="1" applyFill="1" applyBorder="1" applyAlignment="1">
      <alignment horizontal="center" vertical="center"/>
    </xf>
    <xf numFmtId="178" fontId="10" fillId="0" borderId="4" xfId="1" applyNumberFormat="1" applyFont="1" applyFill="1" applyBorder="1" applyAlignment="1">
      <alignment horizontal="center" vertical="center" wrapText="1"/>
    </xf>
    <xf numFmtId="9" fontId="10" fillId="0" borderId="0" xfId="3" applyFont="1" applyFill="1" applyBorder="1" applyAlignment="1">
      <alignment horizontal="left" vertical="center" wrapText="1"/>
    </xf>
    <xf numFmtId="178" fontId="2" fillId="0" borderId="0" xfId="1" applyNumberFormat="1" applyFont="1" applyBorder="1" applyAlignment="1">
      <alignment vertical="center"/>
    </xf>
    <xf numFmtId="178" fontId="2" fillId="0" borderId="0" xfId="0" applyNumberFormat="1" applyFont="1"/>
    <xf numFmtId="178" fontId="2" fillId="0" borderId="0" xfId="0" applyNumberFormat="1" applyFont="1" applyAlignment="1">
      <alignment vertical="center"/>
    </xf>
    <xf numFmtId="0" fontId="13" fillId="0" borderId="4" xfId="0" applyFont="1" applyBorder="1" applyAlignment="1">
      <alignment vertical="center" wrapText="1"/>
    </xf>
    <xf numFmtId="179" fontId="14" fillId="0" borderId="4" xfId="2" applyNumberFormat="1" applyFont="1" applyFill="1" applyBorder="1" applyAlignment="1">
      <alignment vertical="center" wrapText="1"/>
    </xf>
    <xf numFmtId="0" fontId="6" fillId="0" borderId="0" xfId="0" applyFont="1" applyAlignment="1">
      <alignment horizontal="center" vertical="center"/>
    </xf>
    <xf numFmtId="0" fontId="16" fillId="0" borderId="4" xfId="0" applyFont="1" applyBorder="1" applyAlignment="1">
      <alignment horizontal="left" vertical="center" wrapText="1"/>
    </xf>
    <xf numFmtId="0" fontId="8" fillId="0" borderId="0" xfId="0" applyFont="1" applyAlignment="1">
      <alignment horizontal="center" vertical="center" wrapText="1"/>
    </xf>
    <xf numFmtId="0" fontId="17" fillId="0" borderId="0" xfId="0" applyFont="1" applyAlignment="1">
      <alignment horizontal="right"/>
    </xf>
    <xf numFmtId="0" fontId="9" fillId="0" borderId="0" xfId="0" applyFont="1" applyAlignment="1">
      <alignment horizontal="right" vertical="center" wrapText="1"/>
    </xf>
    <xf numFmtId="179" fontId="10" fillId="0" borderId="0" xfId="2" applyNumberFormat="1" applyFont="1" applyFill="1" applyBorder="1" applyAlignment="1">
      <alignment horizontal="center" vertical="center" wrapText="1"/>
    </xf>
    <xf numFmtId="9" fontId="14" fillId="0" borderId="0" xfId="1" applyNumberFormat="1" applyFont="1" applyFill="1" applyBorder="1" applyAlignment="1">
      <alignment horizontal="center" vertical="center" wrapText="1"/>
    </xf>
    <xf numFmtId="179" fontId="14" fillId="0" borderId="0" xfId="2" applyNumberFormat="1" applyFont="1" applyFill="1" applyBorder="1" applyAlignment="1">
      <alignment vertical="center" wrapText="1"/>
    </xf>
    <xf numFmtId="0" fontId="2" fillId="6" borderId="0" xfId="0" applyFont="1" applyFill="1"/>
    <xf numFmtId="9" fontId="10" fillId="0" borderId="0" xfId="2" applyNumberFormat="1" applyFont="1" applyFill="1" applyBorder="1" applyAlignment="1">
      <alignment horizontal="center" vertical="center"/>
    </xf>
    <xf numFmtId="179" fontId="14" fillId="0" borderId="4" xfId="0" applyNumberFormat="1" applyFont="1" applyBorder="1" applyAlignment="1">
      <alignment horizontal="center" vertical="center"/>
    </xf>
    <xf numFmtId="176" fontId="14" fillId="0" borderId="0" xfId="1" applyFont="1" applyFill="1" applyBorder="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wrapText="1"/>
    </xf>
    <xf numFmtId="179" fontId="10" fillId="0" borderId="0" xfId="2" applyNumberFormat="1" applyFont="1" applyFill="1" applyBorder="1" applyAlignment="1">
      <alignment horizontal="left" vertical="center" wrapText="1"/>
    </xf>
    <xf numFmtId="179" fontId="14" fillId="0" borderId="0" xfId="2" applyNumberFormat="1" applyFont="1" applyFill="1" applyBorder="1" applyAlignment="1">
      <alignment horizontal="center" vertical="center"/>
    </xf>
    <xf numFmtId="0" fontId="6" fillId="0" borderId="0" xfId="0" applyFont="1" applyAlignment="1">
      <alignment horizontal="left" vertical="center"/>
    </xf>
    <xf numFmtId="0" fontId="13" fillId="0" borderId="0" xfId="0" applyFont="1" applyAlignment="1">
      <alignment vertical="center" wrapText="1"/>
    </xf>
    <xf numFmtId="9" fontId="14" fillId="0" borderId="0" xfId="3" applyFont="1" applyFill="1" applyBorder="1" applyAlignment="1">
      <alignment horizontal="center" vertical="center" wrapText="1"/>
    </xf>
    <xf numFmtId="9" fontId="14" fillId="6" borderId="0" xfId="3" applyFont="1" applyFill="1" applyBorder="1" applyAlignment="1">
      <alignment horizontal="center" vertical="center" wrapText="1"/>
    </xf>
    <xf numFmtId="177" fontId="14" fillId="6" borderId="0" xfId="2" applyFont="1" applyFill="1" applyBorder="1" applyAlignment="1">
      <alignment vertical="center" wrapText="1"/>
    </xf>
    <xf numFmtId="0" fontId="18" fillId="0" borderId="4" xfId="0" applyFont="1" applyBorder="1" applyAlignment="1">
      <alignment vertical="center" wrapText="1"/>
    </xf>
    <xf numFmtId="177" fontId="14" fillId="0" borderId="0" xfId="2" applyFont="1" applyFill="1" applyBorder="1" applyAlignment="1">
      <alignment vertical="center" wrapText="1"/>
    </xf>
    <xf numFmtId="177" fontId="14" fillId="6" borderId="4" xfId="2" applyFont="1" applyFill="1" applyBorder="1" applyAlignment="1">
      <alignment vertical="center" wrapText="1"/>
    </xf>
    <xf numFmtId="179" fontId="14" fillId="0" borderId="0" xfId="2" applyNumberFormat="1" applyFont="1" applyBorder="1" applyAlignment="1">
      <alignment horizontal="center" vertical="center"/>
    </xf>
    <xf numFmtId="177" fontId="14" fillId="6" borderId="0" xfId="2" applyFont="1" applyFill="1" applyBorder="1" applyAlignment="1">
      <alignment horizontal="center" vertical="center"/>
    </xf>
    <xf numFmtId="177" fontId="14" fillId="0" borderId="0" xfId="2" applyFont="1" applyFill="1" applyBorder="1" applyAlignment="1">
      <alignment horizontal="center" vertical="center"/>
    </xf>
    <xf numFmtId="177" fontId="14" fillId="6" borderId="4" xfId="2" applyFont="1" applyFill="1" applyBorder="1" applyAlignment="1">
      <alignment horizontal="center" vertical="center"/>
    </xf>
    <xf numFmtId="179" fontId="14" fillId="0" borderId="4" xfId="2" applyNumberFormat="1" applyFont="1" applyBorder="1" applyAlignment="1">
      <alignment horizontal="center" vertical="center"/>
    </xf>
    <xf numFmtId="0" fontId="19" fillId="7" borderId="0" xfId="0" applyFont="1" applyFill="1" applyAlignment="1">
      <alignment horizontal="center"/>
    </xf>
    <xf numFmtId="0" fontId="20" fillId="8" borderId="5" xfId="0" applyFont="1" applyFill="1" applyBorder="1" applyAlignment="1">
      <alignment vertical="center" wrapText="1"/>
    </xf>
    <xf numFmtId="0" fontId="19" fillId="0" borderId="6" xfId="0" applyFont="1" applyBorder="1" applyAlignment="1">
      <alignment vertical="center"/>
    </xf>
    <xf numFmtId="0" fontId="5" fillId="0" borderId="0" xfId="0" applyFont="1"/>
    <xf numFmtId="0" fontId="8" fillId="4" borderId="0" xfId="0" applyFont="1" applyFill="1" applyAlignment="1">
      <alignment horizontal="left" vertical="center"/>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13" fillId="6" borderId="7" xfId="0" applyFont="1" applyFill="1" applyBorder="1" applyAlignment="1">
      <alignment horizontal="left" vertical="center" wrapText="1"/>
    </xf>
    <xf numFmtId="0" fontId="2" fillId="0" borderId="8" xfId="0" applyFont="1" applyBorder="1" applyAlignment="1">
      <alignment horizontal="center" vertical="center" wrapText="1"/>
    </xf>
    <xf numFmtId="0" fontId="13" fillId="0" borderId="8" xfId="0" applyFont="1" applyBorder="1" applyAlignment="1">
      <alignment horizontal="left" vertical="center" wrapText="1"/>
    </xf>
    <xf numFmtId="0" fontId="13" fillId="3" borderId="0" xfId="0" applyFont="1" applyFill="1" applyAlignment="1">
      <alignment vertical="center"/>
    </xf>
    <xf numFmtId="0" fontId="13" fillId="0" borderId="0" xfId="0" applyFont="1"/>
    <xf numFmtId="9" fontId="21" fillId="0" borderId="0" xfId="0" applyNumberFormat="1" applyFont="1" applyAlignment="1">
      <alignment wrapText="1"/>
    </xf>
    <xf numFmtId="0" fontId="2" fillId="0" borderId="4" xfId="0" applyFont="1" applyBorder="1" applyAlignment="1">
      <alignment vertical="center" wrapText="1"/>
    </xf>
    <xf numFmtId="0" fontId="2" fillId="3" borderId="4" xfId="0" applyFont="1" applyFill="1" applyBorder="1" applyAlignment="1">
      <alignment vertical="center" wrapText="1"/>
    </xf>
    <xf numFmtId="0" fontId="13" fillId="3" borderId="7" xfId="0" applyFont="1" applyFill="1" applyBorder="1" applyAlignment="1">
      <alignment horizontal="left" vertical="center" wrapText="1"/>
    </xf>
    <xf numFmtId="0" fontId="2" fillId="3" borderId="0" xfId="0" applyFont="1" applyFill="1" applyAlignment="1">
      <alignment vertical="center" wrapText="1"/>
    </xf>
    <xf numFmtId="179" fontId="14" fillId="6" borderId="7" xfId="2" applyNumberFormat="1" applyFont="1" applyFill="1" applyBorder="1" applyAlignment="1">
      <alignment vertical="center" wrapText="1"/>
    </xf>
    <xf numFmtId="179" fontId="14" fillId="0" borderId="8" xfId="2" applyNumberFormat="1" applyFont="1" applyFill="1" applyBorder="1" applyAlignment="1">
      <alignment vertical="center" wrapText="1"/>
    </xf>
    <xf numFmtId="177" fontId="14" fillId="3" borderId="0" xfId="2" applyFont="1" applyFill="1" applyBorder="1" applyAlignment="1">
      <alignment vertical="center" wrapText="1"/>
    </xf>
    <xf numFmtId="0" fontId="14" fillId="0" borderId="0" xfId="0" applyFont="1" applyAlignment="1">
      <alignment horizontal="center"/>
    </xf>
    <xf numFmtId="0" fontId="22" fillId="0" borderId="0" xfId="0" applyFont="1" applyAlignment="1">
      <alignment wrapText="1"/>
    </xf>
    <xf numFmtId="179" fontId="13" fillId="6" borderId="7" xfId="0" applyNumberFormat="1" applyFont="1" applyFill="1" applyBorder="1" applyAlignment="1">
      <alignment horizontal="left" vertical="center" wrapText="1"/>
    </xf>
    <xf numFmtId="179" fontId="14" fillId="3" borderId="7" xfId="2" applyNumberFormat="1" applyFont="1" applyFill="1" applyBorder="1" applyAlignment="1">
      <alignment vertical="center" wrapText="1"/>
    </xf>
    <xf numFmtId="179" fontId="14" fillId="3" borderId="0" xfId="2" applyNumberFormat="1" applyFont="1" applyFill="1" applyBorder="1" applyAlignment="1">
      <alignment vertical="center" wrapText="1"/>
    </xf>
    <xf numFmtId="0" fontId="23" fillId="0" borderId="0" xfId="0" applyFont="1"/>
    <xf numFmtId="0" fontId="24" fillId="0" borderId="0" xfId="0" applyFont="1" applyAlignment="1">
      <alignment horizontal="left" vertical="center" wrapText="1"/>
    </xf>
    <xf numFmtId="0" fontId="14" fillId="0" borderId="4" xfId="3" applyNumberFormat="1" applyFont="1" applyFill="1" applyBorder="1" applyAlignment="1">
      <alignment horizontal="left" vertical="center" wrapText="1"/>
    </xf>
    <xf numFmtId="0" fontId="13" fillId="0" borderId="7" xfId="0" applyFont="1" applyBorder="1" applyAlignment="1">
      <alignment horizontal="left" vertical="center" wrapText="1"/>
    </xf>
    <xf numFmtId="0" fontId="14" fillId="0" borderId="7" xfId="1" applyNumberFormat="1" applyFont="1" applyFill="1" applyBorder="1" applyAlignment="1">
      <alignment horizontal="left" vertical="center" wrapText="1"/>
    </xf>
    <xf numFmtId="0" fontId="14" fillId="0" borderId="7" xfId="3" applyNumberFormat="1" applyFont="1" applyFill="1" applyBorder="1" applyAlignment="1">
      <alignment horizontal="left" vertical="center" wrapText="1"/>
    </xf>
    <xf numFmtId="0" fontId="14" fillId="0" borderId="0" xfId="3" applyNumberFormat="1" applyFont="1" applyFill="1" applyBorder="1" applyAlignment="1">
      <alignment horizontal="left" vertical="center" wrapText="1"/>
    </xf>
    <xf numFmtId="179" fontId="14" fillId="0" borderId="4" xfId="2" applyNumberFormat="1" applyFont="1" applyFill="1" applyBorder="1" applyAlignment="1">
      <alignment horizontal="center" vertical="center" wrapText="1"/>
    </xf>
    <xf numFmtId="179" fontId="14" fillId="0" borderId="7" xfId="2" applyNumberFormat="1" applyFont="1" applyFill="1" applyBorder="1" applyAlignment="1">
      <alignment horizontal="center" vertical="center"/>
    </xf>
    <xf numFmtId="179" fontId="14" fillId="0" borderId="7" xfId="2" applyNumberFormat="1" applyFont="1" applyFill="1" applyBorder="1" applyAlignment="1">
      <alignment horizontal="center" vertical="center" wrapText="1"/>
    </xf>
    <xf numFmtId="0" fontId="14" fillId="9" borderId="0" xfId="0" applyFont="1" applyFill="1" applyAlignment="1">
      <alignment horizontal="center" vertical="center" wrapText="1"/>
    </xf>
    <xf numFmtId="179" fontId="14" fillId="0" borderId="0" xfId="2" applyNumberFormat="1" applyFont="1" applyFill="1" applyBorder="1" applyAlignment="1">
      <alignment horizontal="left" vertical="center" wrapText="1"/>
    </xf>
    <xf numFmtId="179" fontId="14" fillId="0" borderId="0" xfId="2" applyNumberFormat="1" applyFont="1" applyFill="1" applyBorder="1" applyAlignment="1">
      <alignment horizontal="center" vertical="center" wrapText="1"/>
    </xf>
    <xf numFmtId="179" fontId="14" fillId="0" borderId="4" xfId="2" applyNumberFormat="1" applyFont="1" applyFill="1" applyBorder="1" applyAlignment="1">
      <alignment horizontal="left" vertical="center" wrapText="1"/>
    </xf>
    <xf numFmtId="0" fontId="14" fillId="6" borderId="7" xfId="1" applyNumberFormat="1" applyFont="1" applyFill="1" applyBorder="1" applyAlignment="1">
      <alignment horizontal="left" vertical="center" wrapText="1"/>
    </xf>
    <xf numFmtId="0" fontId="14" fillId="6" borderId="7" xfId="3" applyNumberFormat="1" applyFont="1" applyFill="1" applyBorder="1" applyAlignment="1">
      <alignment horizontal="left" vertical="center" wrapText="1"/>
    </xf>
    <xf numFmtId="0" fontId="18" fillId="0" borderId="4" xfId="0" applyFont="1" applyBorder="1" applyAlignment="1">
      <alignment horizontal="left" vertical="center" wrapText="1"/>
    </xf>
    <xf numFmtId="10" fontId="14" fillId="0" borderId="4" xfId="2" applyNumberFormat="1" applyFont="1" applyFill="1" applyBorder="1" applyAlignment="1">
      <alignment horizontal="center" vertical="center" wrapText="1"/>
    </xf>
    <xf numFmtId="177" fontId="10" fillId="0" borderId="0" xfId="2" applyFont="1" applyFill="1" applyBorder="1" applyAlignment="1">
      <alignment horizontal="center" vertical="center" wrapText="1"/>
    </xf>
    <xf numFmtId="0" fontId="18" fillId="0" borderId="7" xfId="0" applyFont="1" applyBorder="1" applyAlignment="1">
      <alignment horizontal="left" vertical="center" wrapText="1"/>
    </xf>
    <xf numFmtId="10" fontId="14" fillId="0" borderId="7" xfId="2" applyNumberFormat="1" applyFont="1" applyFill="1" applyBorder="1" applyAlignment="1">
      <alignment horizontal="center" vertical="center" wrapText="1"/>
    </xf>
    <xf numFmtId="0" fontId="13" fillId="6" borderId="0" xfId="0" applyFont="1" applyFill="1" applyAlignment="1">
      <alignment vertical="center"/>
    </xf>
    <xf numFmtId="0" fontId="9" fillId="0" borderId="0" xfId="0" applyFont="1"/>
    <xf numFmtId="179" fontId="14" fillId="0" borderId="7" xfId="2" applyNumberFormat="1" applyFont="1" applyFill="1" applyBorder="1" applyAlignment="1">
      <alignment vertical="center" wrapText="1"/>
    </xf>
    <xf numFmtId="179" fontId="16" fillId="6" borderId="0" xfId="2" applyNumberFormat="1" applyFont="1" applyFill="1" applyBorder="1" applyAlignment="1">
      <alignment vertical="center" wrapText="1"/>
    </xf>
    <xf numFmtId="0" fontId="2" fillId="0" borderId="0" xfId="0" applyFont="1" applyAlignment="1">
      <alignment horizontal="right"/>
    </xf>
    <xf numFmtId="0" fontId="25" fillId="0" borderId="0" xfId="0" applyFont="1"/>
    <xf numFmtId="0" fontId="8" fillId="5" borderId="0" xfId="0" applyFont="1" applyFill="1" applyAlignment="1">
      <alignment vertical="center"/>
    </xf>
    <xf numFmtId="0" fontId="8" fillId="5" borderId="0" xfId="0" applyFont="1" applyFill="1" applyAlignment="1">
      <alignment vertical="center" wrapText="1"/>
    </xf>
    <xf numFmtId="0" fontId="26" fillId="0" borderId="0" xfId="0" applyFont="1" applyAlignment="1">
      <alignment horizontal="center" vertical="center" wrapText="1"/>
    </xf>
    <xf numFmtId="0" fontId="14" fillId="0" borderId="0" xfId="0" applyFont="1" applyAlignment="1">
      <alignment wrapText="1"/>
    </xf>
    <xf numFmtId="0" fontId="26" fillId="0" borderId="4" xfId="0" applyFont="1" applyBorder="1" applyAlignment="1">
      <alignment horizontal="center" vertical="center" wrapText="1"/>
    </xf>
    <xf numFmtId="0" fontId="14" fillId="0" borderId="4" xfId="0" applyFont="1" applyBorder="1" applyAlignment="1">
      <alignment wrapText="1"/>
    </xf>
    <xf numFmtId="0" fontId="26" fillId="10" borderId="8" xfId="0" applyFont="1" applyFill="1" applyBorder="1" applyAlignment="1">
      <alignment horizontal="center" vertical="center" wrapText="1"/>
    </xf>
    <xf numFmtId="0" fontId="14" fillId="10" borderId="8" xfId="0" applyFont="1" applyFill="1" applyBorder="1" applyAlignment="1">
      <alignment wrapText="1"/>
    </xf>
    <xf numFmtId="0" fontId="26" fillId="10" borderId="0" xfId="0" applyFont="1" applyFill="1" applyAlignment="1">
      <alignment horizontal="center" vertical="center" wrapText="1"/>
    </xf>
    <xf numFmtId="0" fontId="14" fillId="10" borderId="0" xfId="0" applyFont="1" applyFill="1" applyAlignment="1">
      <alignment wrapText="1"/>
    </xf>
    <xf numFmtId="0" fontId="26" fillId="10" borderId="4" xfId="0" applyFont="1" applyFill="1" applyBorder="1" applyAlignment="1">
      <alignment horizontal="center" vertical="center" wrapText="1"/>
    </xf>
    <xf numFmtId="0" fontId="14" fillId="10" borderId="4" xfId="0" applyFont="1" applyFill="1" applyBorder="1" applyAlignment="1">
      <alignment wrapText="1"/>
    </xf>
    <xf numFmtId="0" fontId="26" fillId="0" borderId="8" xfId="0" applyFont="1" applyBorder="1" applyAlignment="1">
      <alignment horizontal="center" vertical="center" wrapText="1"/>
    </xf>
    <xf numFmtId="0" fontId="14" fillId="0" borderId="8" xfId="0" applyFont="1" applyBorder="1" applyAlignment="1">
      <alignment wrapText="1"/>
    </xf>
    <xf numFmtId="0" fontId="8" fillId="5" borderId="0" xfId="0" applyFont="1" applyFill="1" applyAlignment="1">
      <alignment horizontal="left" vertical="center" wrapText="1"/>
    </xf>
    <xf numFmtId="180" fontId="21" fillId="0" borderId="0" xfId="0" applyNumberFormat="1" applyFont="1" applyAlignment="1">
      <alignment wrapText="1"/>
    </xf>
    <xf numFmtId="0" fontId="14" fillId="11" borderId="0" xfId="0" applyFont="1" applyFill="1" applyAlignment="1">
      <alignment horizontal="center"/>
    </xf>
    <xf numFmtId="0" fontId="12" fillId="0" borderId="0" xfId="0" applyFont="1" applyAlignment="1">
      <alignment wrapText="1"/>
    </xf>
    <xf numFmtId="10" fontId="21" fillId="0" borderId="0" xfId="0" applyNumberFormat="1" applyFont="1" applyAlignment="1">
      <alignment wrapText="1"/>
    </xf>
    <xf numFmtId="0" fontId="14" fillId="12" borderId="0" xfId="0" applyFont="1" applyFill="1" applyAlignment="1">
      <alignment horizontal="center"/>
    </xf>
    <xf numFmtId="9" fontId="21" fillId="0" borderId="4" xfId="0" applyNumberFormat="1" applyFont="1" applyBorder="1" applyAlignment="1">
      <alignment wrapText="1"/>
    </xf>
    <xf numFmtId="0" fontId="14" fillId="11" borderId="4" xfId="0" applyFont="1" applyFill="1" applyBorder="1" applyAlignment="1">
      <alignment horizontal="center"/>
    </xf>
    <xf numFmtId="0" fontId="12" fillId="0" borderId="4" xfId="0" applyFont="1" applyBorder="1" applyAlignment="1">
      <alignment wrapText="1"/>
    </xf>
    <xf numFmtId="180" fontId="21" fillId="10" borderId="0" xfId="0" applyNumberFormat="1" applyFont="1" applyFill="1" applyAlignment="1">
      <alignment wrapText="1"/>
    </xf>
    <xf numFmtId="0" fontId="14" fillId="11" borderId="8" xfId="0" applyFont="1" applyFill="1" applyBorder="1" applyAlignment="1">
      <alignment horizontal="center"/>
    </xf>
    <xf numFmtId="9" fontId="21" fillId="10" borderId="0" xfId="0" applyNumberFormat="1" applyFont="1" applyFill="1" applyAlignment="1">
      <alignment wrapText="1"/>
    </xf>
    <xf numFmtId="0" fontId="21" fillId="10" borderId="0" xfId="0" applyFont="1" applyFill="1" applyAlignment="1">
      <alignment wrapText="1"/>
    </xf>
    <xf numFmtId="0" fontId="12" fillId="10" borderId="0" xfId="0" applyFont="1" applyFill="1" applyAlignment="1">
      <alignment wrapText="1"/>
    </xf>
    <xf numFmtId="3" fontId="21" fillId="10" borderId="0" xfId="0" applyNumberFormat="1" applyFont="1" applyFill="1" applyAlignment="1">
      <alignment wrapText="1"/>
    </xf>
    <xf numFmtId="0" fontId="27" fillId="10" borderId="4" xfId="0" applyFont="1" applyFill="1" applyBorder="1" applyAlignment="1">
      <alignment horizontal="right" wrapText="1"/>
    </xf>
    <xf numFmtId="0" fontId="14" fillId="12" borderId="4" xfId="0" applyFont="1" applyFill="1" applyBorder="1" applyAlignment="1">
      <alignment horizontal="center"/>
    </xf>
    <xf numFmtId="180" fontId="21" fillId="0" borderId="8" xfId="0" applyNumberFormat="1" applyFont="1" applyBorder="1" applyAlignment="1">
      <alignment wrapText="1"/>
    </xf>
    <xf numFmtId="0" fontId="12" fillId="0" borderId="8" xfId="0" applyFont="1" applyBorder="1" applyAlignment="1">
      <alignment wrapText="1"/>
    </xf>
    <xf numFmtId="0" fontId="21" fillId="10" borderId="8" xfId="0" applyFont="1" applyFill="1" applyBorder="1" applyAlignment="1">
      <alignment wrapText="1"/>
    </xf>
    <xf numFmtId="0" fontId="12" fillId="10" borderId="8" xfId="0" applyFont="1" applyFill="1" applyBorder="1" applyAlignment="1">
      <alignment wrapText="1"/>
    </xf>
    <xf numFmtId="10" fontId="21" fillId="10" borderId="0" xfId="0" applyNumberFormat="1" applyFont="1" applyFill="1" applyAlignment="1">
      <alignment wrapText="1"/>
    </xf>
    <xf numFmtId="3" fontId="21" fillId="10" borderId="4" xfId="0" applyNumberFormat="1" applyFont="1" applyFill="1" applyBorder="1" applyAlignment="1">
      <alignment wrapText="1"/>
    </xf>
    <xf numFmtId="0" fontId="14" fillId="12" borderId="8" xfId="0" applyFont="1" applyFill="1" applyBorder="1" applyAlignment="1">
      <alignment horizontal="center"/>
    </xf>
    <xf numFmtId="10" fontId="21" fillId="0" borderId="4" xfId="0" applyNumberFormat="1" applyFont="1" applyBorder="1" applyAlignment="1">
      <alignment wrapText="1"/>
    </xf>
    <xf numFmtId="0" fontId="2" fillId="0" borderId="3" xfId="0" applyFont="1" applyBorder="1" applyAlignment="1">
      <alignment horizontal="right"/>
    </xf>
    <xf numFmtId="0" fontId="26" fillId="0" borderId="0" xfId="0" applyFont="1" applyAlignment="1">
      <alignment horizontal="right" vertical="center" wrapText="1"/>
    </xf>
    <xf numFmtId="0" fontId="28" fillId="0" borderId="0" xfId="0" applyFont="1"/>
    <xf numFmtId="0" fontId="29" fillId="0" borderId="0" xfId="0" applyFont="1"/>
    <xf numFmtId="0" fontId="29" fillId="0" borderId="0" xfId="0" applyFont="1" applyAlignment="1">
      <alignment horizontal="right"/>
    </xf>
    <xf numFmtId="0" fontId="30" fillId="5" borderId="0" xfId="0" applyFont="1" applyFill="1" applyAlignment="1">
      <alignment vertical="center"/>
    </xf>
    <xf numFmtId="0" fontId="30" fillId="5" borderId="0" xfId="0" applyFont="1" applyFill="1" applyAlignment="1">
      <alignment vertical="center" wrapText="1"/>
    </xf>
    <xf numFmtId="0" fontId="30" fillId="5" borderId="0" xfId="0" applyFont="1" applyFill="1" applyAlignment="1">
      <alignment horizontal="left" vertical="center" wrapText="1"/>
    </xf>
    <xf numFmtId="0" fontId="14" fillId="6" borderId="9" xfId="0" applyFont="1" applyFill="1" applyBorder="1" applyAlignment="1">
      <alignment horizontal="center" vertical="center" wrapText="1"/>
    </xf>
    <xf numFmtId="0" fontId="14" fillId="0" borderId="10" xfId="0" applyFont="1" applyBorder="1" applyAlignment="1">
      <alignment horizontal="center" vertical="center" wrapText="1"/>
    </xf>
    <xf numFmtId="0" fontId="14" fillId="0" borderId="0" xfId="0" applyFont="1" applyAlignment="1">
      <alignment vertical="center" wrapText="1"/>
    </xf>
    <xf numFmtId="9" fontId="21" fillId="0" borderId="0" xfId="3" applyFont="1" applyAlignment="1">
      <alignment horizontal="center" vertical="center" wrapText="1"/>
    </xf>
    <xf numFmtId="0" fontId="14" fillId="6" borderId="11" xfId="0" applyFont="1" applyFill="1" applyBorder="1" applyAlignment="1">
      <alignment horizontal="center" vertical="center" wrapText="1"/>
    </xf>
    <xf numFmtId="9" fontId="21" fillId="0" borderId="0" xfId="0" applyNumberFormat="1" applyFont="1" applyAlignment="1">
      <alignment horizontal="center" vertical="center" wrapText="1"/>
    </xf>
    <xf numFmtId="0" fontId="14" fillId="6" borderId="10" xfId="0" applyFont="1" applyFill="1" applyBorder="1" applyAlignment="1">
      <alignment horizontal="center" vertical="center"/>
    </xf>
    <xf numFmtId="0" fontId="14" fillId="6" borderId="0" xfId="0" applyFont="1" applyFill="1" applyAlignment="1">
      <alignment vertical="center" wrapText="1"/>
    </xf>
    <xf numFmtId="0" fontId="21" fillId="6" borderId="0" xfId="0" applyFont="1" applyFill="1" applyAlignment="1">
      <alignment horizontal="center" vertical="center"/>
    </xf>
    <xf numFmtId="9" fontId="21" fillId="6" borderId="0" xfId="3" applyFont="1" applyFill="1" applyAlignment="1">
      <alignment horizontal="center" vertical="center" wrapText="1"/>
    </xf>
    <xf numFmtId="9" fontId="21" fillId="6" borderId="0" xfId="0" applyNumberFormat="1" applyFont="1" applyFill="1" applyAlignment="1">
      <alignment horizontal="center" vertical="center" wrapText="1"/>
    </xf>
    <xf numFmtId="177" fontId="21" fillId="6" borderId="0" xfId="2" applyFont="1" applyFill="1" applyAlignment="1">
      <alignment horizontal="center" vertical="center" wrapText="1"/>
    </xf>
    <xf numFmtId="179" fontId="21" fillId="6" borderId="0" xfId="2" applyNumberFormat="1" applyFont="1" applyFill="1" applyAlignment="1">
      <alignment horizontal="center" vertical="center"/>
    </xf>
    <xf numFmtId="0" fontId="31" fillId="13" borderId="0" xfId="0" applyFont="1" applyFill="1" applyAlignment="1">
      <alignment vertical="center" wrapText="1"/>
    </xf>
    <xf numFmtId="9" fontId="21" fillId="6" borderId="0" xfId="3" applyFont="1" applyFill="1" applyAlignment="1">
      <alignment horizontal="center" vertical="center"/>
    </xf>
    <xf numFmtId="0" fontId="14" fillId="10" borderId="0" xfId="0" applyFont="1" applyFill="1" applyAlignment="1">
      <alignment horizontal="center" wrapText="1"/>
    </xf>
    <xf numFmtId="1" fontId="14" fillId="10" borderId="0" xfId="0" applyNumberFormat="1" applyFont="1" applyFill="1" applyAlignment="1">
      <alignment horizontal="center" wrapText="1"/>
    </xf>
    <xf numFmtId="0" fontId="14" fillId="0" borderId="10" xfId="0" applyFont="1" applyBorder="1" applyAlignment="1">
      <alignment horizontal="center" vertical="center"/>
    </xf>
    <xf numFmtId="176" fontId="21" fillId="0" borderId="0" xfId="1" applyFont="1" applyAlignment="1">
      <alignment horizontal="center" vertical="center"/>
    </xf>
    <xf numFmtId="178" fontId="21" fillId="0" borderId="0" xfId="1" applyNumberFormat="1" applyFont="1" applyAlignment="1">
      <alignment horizontal="center" vertical="center"/>
    </xf>
    <xf numFmtId="179" fontId="21" fillId="0" borderId="0" xfId="2" applyNumberFormat="1" applyFont="1" applyAlignment="1">
      <alignment horizontal="center" vertical="center"/>
    </xf>
    <xf numFmtId="176" fontId="21" fillId="6" borderId="0" xfId="1" applyFont="1" applyFill="1" applyAlignment="1">
      <alignment horizontal="center" vertical="center"/>
    </xf>
    <xf numFmtId="178" fontId="21" fillId="6" borderId="0" xfId="1" applyNumberFormat="1" applyFont="1" applyFill="1" applyAlignment="1">
      <alignment horizontal="center" vertical="center"/>
    </xf>
    <xf numFmtId="179" fontId="21" fillId="6" borderId="0" xfId="2" applyNumberFormat="1" applyFont="1" applyFill="1" applyAlignment="1">
      <alignment horizontal="center" vertical="center" wrapText="1"/>
    </xf>
    <xf numFmtId="176" fontId="21" fillId="0" borderId="0" xfId="1" applyFont="1" applyBorder="1" applyAlignment="1">
      <alignment horizontal="center" vertical="center"/>
    </xf>
    <xf numFmtId="0" fontId="21" fillId="0" borderId="0" xfId="0" applyFont="1" applyAlignment="1">
      <alignment horizontal="center" vertical="center"/>
    </xf>
    <xf numFmtId="0" fontId="14" fillId="6" borderId="12" xfId="0" applyFont="1" applyFill="1" applyBorder="1" applyAlignment="1">
      <alignment horizontal="center" vertical="center" wrapText="1"/>
    </xf>
    <xf numFmtId="0" fontId="14" fillId="0" borderId="13" xfId="0" applyFont="1" applyBorder="1" applyAlignment="1">
      <alignment horizontal="center" vertical="center"/>
    </xf>
    <xf numFmtId="0" fontId="14" fillId="0" borderId="4" xfId="0" applyFont="1" applyBorder="1" applyAlignment="1">
      <alignment vertical="center" wrapText="1"/>
    </xf>
    <xf numFmtId="179" fontId="21" fillId="0" borderId="4" xfId="2" applyNumberFormat="1" applyFont="1" applyBorder="1" applyAlignment="1">
      <alignment horizontal="center" vertical="center"/>
    </xf>
    <xf numFmtId="0" fontId="2" fillId="0" borderId="9" xfId="0" applyFont="1" applyBorder="1" applyAlignment="1">
      <alignment horizontal="center" vertical="center"/>
    </xf>
    <xf numFmtId="0" fontId="14" fillId="6" borderId="14" xfId="0" applyFont="1" applyFill="1" applyBorder="1" applyAlignment="1">
      <alignment horizontal="center" vertical="center"/>
    </xf>
    <xf numFmtId="0" fontId="14" fillId="6" borderId="8" xfId="0" applyFont="1" applyFill="1" applyBorder="1" applyAlignment="1">
      <alignment vertical="center" wrapText="1"/>
    </xf>
    <xf numFmtId="9" fontId="21" fillId="6" borderId="8" xfId="3" applyFont="1" applyFill="1" applyBorder="1" applyAlignment="1">
      <alignment horizontal="center" vertical="center"/>
    </xf>
    <xf numFmtId="0" fontId="2" fillId="0" borderId="11" xfId="0" applyFont="1" applyBorder="1" applyAlignment="1">
      <alignment horizontal="center" vertical="center"/>
    </xf>
    <xf numFmtId="9" fontId="21" fillId="6" borderId="0" xfId="3" applyFont="1" applyFill="1" applyBorder="1" applyAlignment="1">
      <alignment horizontal="center" vertical="center"/>
    </xf>
    <xf numFmtId="0" fontId="2" fillId="0" borderId="3" xfId="0" applyFont="1" applyBorder="1" applyAlignment="1">
      <alignment horizontal="left" wrapText="1"/>
    </xf>
    <xf numFmtId="0" fontId="29" fillId="0" borderId="0" xfId="0" applyFont="1" applyAlignment="1">
      <alignment horizontal="left" wrapText="1"/>
    </xf>
    <xf numFmtId="0" fontId="14" fillId="0" borderId="0" xfId="0" applyFont="1" applyAlignment="1">
      <alignment horizontal="left" vertical="center" wrapText="1"/>
    </xf>
    <xf numFmtId="0" fontId="14" fillId="6" borderId="0" xfId="0" applyFont="1" applyFill="1" applyAlignment="1">
      <alignment horizontal="left" vertical="center" wrapText="1"/>
    </xf>
    <xf numFmtId="0" fontId="14" fillId="6" borderId="0" xfId="6" applyFont="1" applyFill="1" applyBorder="1" applyAlignment="1">
      <alignment horizontal="left" vertical="center" wrapText="1"/>
    </xf>
    <xf numFmtId="0" fontId="10" fillId="6" borderId="0" xfId="6" applyFont="1" applyFill="1" applyBorder="1" applyAlignment="1">
      <alignment horizontal="left" vertical="center" wrapText="1"/>
    </xf>
    <xf numFmtId="0" fontId="14" fillId="0" borderId="0" xfId="6" applyFont="1" applyFill="1" applyBorder="1" applyAlignment="1">
      <alignment horizontal="left" vertical="center" wrapText="1"/>
    </xf>
    <xf numFmtId="0" fontId="14" fillId="0" borderId="4" xfId="6" applyFont="1" applyFill="1" applyBorder="1" applyAlignment="1">
      <alignment horizontal="left" vertical="center" wrapText="1"/>
    </xf>
    <xf numFmtId="0" fontId="2" fillId="6" borderId="8" xfId="0" applyFont="1" applyFill="1" applyBorder="1" applyAlignment="1">
      <alignment horizontal="left" wrapText="1"/>
    </xf>
    <xf numFmtId="0" fontId="2" fillId="6" borderId="0" xfId="0" applyFont="1" applyFill="1" applyAlignment="1">
      <alignment horizontal="left" wrapText="1"/>
    </xf>
    <xf numFmtId="179" fontId="21" fillId="0" borderId="0" xfId="2" applyNumberFormat="1" applyFont="1" applyBorder="1" applyAlignment="1">
      <alignment horizontal="center" vertical="center"/>
    </xf>
    <xf numFmtId="179" fontId="21" fillId="6" borderId="0" xfId="0" applyNumberFormat="1" applyFont="1" applyFill="1" applyAlignment="1">
      <alignment horizontal="center" vertical="center"/>
    </xf>
    <xf numFmtId="179" fontId="21" fillId="6" borderId="0" xfId="2" applyNumberFormat="1" applyFont="1" applyFill="1" applyBorder="1" applyAlignment="1">
      <alignment horizontal="center" vertical="center"/>
    </xf>
    <xf numFmtId="179" fontId="21" fillId="0" borderId="0" xfId="0" applyNumberFormat="1" applyFont="1" applyAlignment="1">
      <alignment horizontal="center" vertical="center"/>
    </xf>
    <xf numFmtId="0" fontId="2" fillId="0" borderId="12" xfId="0" applyFont="1" applyBorder="1" applyAlignment="1">
      <alignment horizontal="center" vertical="center"/>
    </xf>
    <xf numFmtId="179" fontId="21" fillId="0" borderId="4" xfId="0" applyNumberFormat="1" applyFont="1" applyBorder="1" applyAlignment="1">
      <alignment horizontal="center" vertical="center"/>
    </xf>
    <xf numFmtId="0" fontId="2" fillId="0" borderId="4" xfId="0" applyFont="1" applyBorder="1" applyAlignment="1">
      <alignment horizontal="left" wrapText="1"/>
    </xf>
    <xf numFmtId="0" fontId="2" fillId="3" borderId="0" xfId="0" applyFont="1" applyFill="1"/>
    <xf numFmtId="0" fontId="32" fillId="3" borderId="0" xfId="0" applyFont="1" applyFill="1" applyAlignment="1">
      <alignment horizontal="left" vertical="center" wrapText="1"/>
    </xf>
    <xf numFmtId="0" fontId="2" fillId="3" borderId="0" xfId="0" applyFont="1" applyFill="1" applyAlignment="1">
      <alignment horizontal="left" vertical="top" wrapText="1"/>
    </xf>
    <xf numFmtId="0" fontId="14" fillId="3" borderId="0" xfId="0" applyFont="1" applyFill="1" applyAlignment="1">
      <alignment horizontal="left" vertical="top" wrapText="1"/>
    </xf>
    <xf numFmtId="0" fontId="32" fillId="3" borderId="0" xfId="0" applyFont="1" applyFill="1" applyAlignment="1">
      <alignment horizontal="left" vertical="center"/>
    </xf>
    <xf numFmtId="181" fontId="2" fillId="14" borderId="0" xfId="0" applyNumberFormat="1" applyFont="1" applyFill="1" applyAlignment="1">
      <alignment horizontal="center" vertical="center"/>
    </xf>
    <xf numFmtId="0" fontId="33" fillId="14" borderId="3" xfId="0" applyFont="1" applyFill="1" applyBorder="1" applyAlignment="1">
      <alignment horizontal="center" vertical="center" wrapText="1"/>
    </xf>
    <xf numFmtId="0" fontId="34" fillId="14" borderId="15" xfId="0" applyFont="1" applyFill="1" applyBorder="1" applyAlignment="1">
      <alignment horizontal="center" vertical="center" wrapText="1"/>
    </xf>
    <xf numFmtId="181" fontId="2" fillId="14" borderId="15" xfId="0" applyNumberFormat="1" applyFont="1" applyFill="1" applyBorder="1" applyAlignment="1">
      <alignment horizontal="center" vertical="center" wrapText="1"/>
    </xf>
    <xf numFmtId="0" fontId="34" fillId="14" borderId="0" xfId="0" applyFont="1" applyFill="1" applyAlignment="1">
      <alignment horizontal="center" vertical="center" wrapText="1"/>
    </xf>
    <xf numFmtId="181" fontId="2" fillId="14" borderId="0" xfId="0" applyNumberFormat="1" applyFont="1" applyFill="1" applyAlignment="1">
      <alignment horizontal="center" vertical="center" wrapText="1"/>
    </xf>
    <xf numFmtId="0" fontId="34" fillId="14" borderId="4" xfId="0" applyFont="1" applyFill="1" applyBorder="1" applyAlignment="1">
      <alignment horizontal="center" vertical="center" wrapText="1"/>
    </xf>
    <xf numFmtId="181" fontId="2" fillId="14" borderId="4" xfId="0" applyNumberFormat="1" applyFont="1" applyFill="1" applyBorder="1" applyAlignment="1">
      <alignment horizontal="center" vertical="center" wrapText="1"/>
    </xf>
    <xf numFmtId="181" fontId="2" fillId="14" borderId="8" xfId="0" applyNumberFormat="1" applyFont="1" applyFill="1" applyBorder="1" applyAlignment="1">
      <alignment horizontal="center" vertical="center" wrapText="1"/>
    </xf>
    <xf numFmtId="0" fontId="2" fillId="3" borderId="0" xfId="0" applyFont="1" applyFill="1" applyAlignment="1">
      <alignment horizontal="left" vertical="center" wrapText="1"/>
    </xf>
    <xf numFmtId="0" fontId="2" fillId="3" borderId="15"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8" xfId="0" applyFont="1" applyFill="1" applyBorder="1" applyAlignment="1">
      <alignment horizontal="left" vertical="center" wrapText="1"/>
    </xf>
    <xf numFmtId="0" fontId="35" fillId="3" borderId="0" xfId="0" applyFont="1" applyFill="1" applyAlignment="1">
      <alignment horizontal="left" vertical="center" wrapText="1"/>
    </xf>
    <xf numFmtId="0" fontId="25" fillId="3" borderId="0" xfId="0" applyFont="1" applyFill="1"/>
    <xf numFmtId="0" fontId="2" fillId="14" borderId="0" xfId="0" applyFont="1" applyFill="1"/>
    <xf numFmtId="0" fontId="34" fillId="14" borderId="16" xfId="0" applyFont="1" applyFill="1" applyBorder="1" applyAlignment="1">
      <alignment horizontal="left" vertical="center"/>
    </xf>
    <xf numFmtId="181" fontId="2" fillId="14" borderId="16" xfId="0" applyNumberFormat="1" applyFont="1" applyFill="1" applyBorder="1" applyAlignment="1">
      <alignment horizontal="center" vertical="center"/>
    </xf>
    <xf numFmtId="0" fontId="34" fillId="14" borderId="7" xfId="0" applyFont="1" applyFill="1" applyBorder="1" applyAlignment="1">
      <alignment horizontal="left" vertical="center" wrapText="1"/>
    </xf>
    <xf numFmtId="181" fontId="2" fillId="14" borderId="7" xfId="0" applyNumberFormat="1" applyFont="1" applyFill="1" applyBorder="1" applyAlignment="1">
      <alignment horizontal="center" vertical="center"/>
    </xf>
    <xf numFmtId="0" fontId="34" fillId="14" borderId="0" xfId="0" applyFont="1" applyFill="1" applyAlignment="1">
      <alignment horizontal="left" vertical="center" wrapText="1"/>
    </xf>
    <xf numFmtId="0" fontId="34" fillId="3" borderId="4" xfId="0" applyFont="1" applyFill="1" applyBorder="1" applyAlignment="1">
      <alignment horizontal="left" vertical="center" wrapText="1"/>
    </xf>
    <xf numFmtId="181" fontId="2" fillId="14" borderId="4" xfId="0" applyNumberFormat="1" applyFont="1" applyFill="1" applyBorder="1" applyAlignment="1">
      <alignment horizontal="center" vertical="center"/>
    </xf>
    <xf numFmtId="0" fontId="34" fillId="3" borderId="0" xfId="0" applyFont="1" applyFill="1" applyAlignment="1">
      <alignment horizontal="left" vertical="center" wrapText="1"/>
    </xf>
    <xf numFmtId="0" fontId="2" fillId="14" borderId="4" xfId="0" applyFont="1" applyFill="1" applyBorder="1" applyAlignment="1">
      <alignment horizontal="center" vertical="center"/>
    </xf>
    <xf numFmtId="0" fontId="36" fillId="3" borderId="0" xfId="0" applyFont="1" applyFill="1" applyAlignment="1">
      <alignment horizontal="center"/>
    </xf>
    <xf numFmtId="0" fontId="2" fillId="14" borderId="0" xfId="0" applyFont="1" applyFill="1" applyAlignment="1">
      <alignment horizontal="center" vertical="center"/>
    </xf>
    <xf numFmtId="182" fontId="34" fillId="14" borderId="0" xfId="0" applyNumberFormat="1" applyFont="1" applyFill="1" applyAlignment="1">
      <alignment horizontal="left"/>
    </xf>
    <xf numFmtId="0" fontId="2" fillId="3" borderId="16" xfId="0" applyFont="1" applyFill="1" applyBorder="1" applyAlignment="1">
      <alignment horizontal="left" vertical="center" wrapText="1"/>
    </xf>
    <xf numFmtId="0" fontId="2" fillId="3" borderId="7" xfId="0" applyFont="1" applyFill="1" applyBorder="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Currency 2" xfId="50"/>
    <cellStyle name="Normal 2" xfId="51"/>
    <cellStyle name="Normal 3" xfId="52"/>
    <cellStyle name="Percent 2" xfId="53"/>
  </cellStyles>
  <tableStyles count="0" defaultTableStyle="TableStyleMedium2" defaultPivotStyle="PivotStyleLight16"/>
  <colors>
    <mruColors>
      <color rgb="00070299"/>
      <color rgb="00CDCCFF"/>
      <color rgb="00FFB171"/>
      <color rgb="00D25F00"/>
      <color rgb="00EE6C00"/>
      <color rgb="00FFDFC5"/>
      <color rgb="00FFC1C1"/>
      <color rgb="00FFBDBD"/>
      <color rgb="00FFD1D1"/>
      <color rgb="00FFF3F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72573</xdr:rowOff>
    </xdr:from>
    <xdr:to>
      <xdr:col>2</xdr:col>
      <xdr:colOff>2485571</xdr:colOff>
      <xdr:row>5</xdr:row>
      <xdr:rowOff>145144</xdr:rowOff>
    </xdr:to>
    <xdr:sp>
      <xdr:nvSpPr>
        <xdr:cNvPr id="2" name="Rounded Rectangle 1"/>
        <xdr:cNvSpPr/>
      </xdr:nvSpPr>
      <xdr:spPr>
        <a:xfrm>
          <a:off x="199390" y="72390"/>
          <a:ext cx="2914015" cy="1469390"/>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79375</xdr:rowOff>
    </xdr:to>
    <xdr:sp>
      <xdr:nvSpPr>
        <xdr:cNvPr id="2" name="Rounded Rectangle 1"/>
        <xdr:cNvSpPr/>
      </xdr:nvSpPr>
      <xdr:spPr>
        <a:xfrm>
          <a:off x="199390" y="72390"/>
          <a:ext cx="2914015" cy="140398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4</xdr:row>
      <xdr:rowOff>254000</xdr:rowOff>
    </xdr:to>
    <xdr:sp>
      <xdr:nvSpPr>
        <xdr:cNvPr id="2" name="Rounded Rectangle 1"/>
        <xdr:cNvSpPr/>
      </xdr:nvSpPr>
      <xdr:spPr>
        <a:xfrm>
          <a:off x="199390" y="72390"/>
          <a:ext cx="2914015" cy="1305560"/>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twoCellAnchor editAs="oneCell">
    <xdr:from>
      <xdr:col>2</xdr:col>
      <xdr:colOff>54428</xdr:colOff>
      <xdr:row>21</xdr:row>
      <xdr:rowOff>90713</xdr:rowOff>
    </xdr:from>
    <xdr:to>
      <xdr:col>5</xdr:col>
      <xdr:colOff>357033</xdr:colOff>
      <xdr:row>35</xdr:row>
      <xdr:rowOff>36285</xdr:rowOff>
    </xdr:to>
    <xdr:pic>
      <xdr:nvPicPr>
        <xdr:cNvPr id="4" name="Picture 3"/>
        <xdr:cNvPicPr>
          <a:picLocks noChangeAspect="1"/>
        </xdr:cNvPicPr>
      </xdr:nvPicPr>
      <xdr:blipFill>
        <a:blip r:embed="rId2"/>
        <a:stretch>
          <a:fillRect/>
        </a:stretch>
      </xdr:blipFill>
      <xdr:spPr>
        <a:xfrm>
          <a:off x="681990" y="5064125"/>
          <a:ext cx="5766435" cy="2933065"/>
        </a:xfrm>
        <a:prstGeom prst="rect">
          <a:avLst/>
        </a:prstGeom>
        <a:ln>
          <a:solidFill>
            <a:schemeClr val="tx1"/>
          </a:solidFill>
        </a:ln>
      </xdr:spPr>
    </xdr:pic>
    <xdr:clientData/>
  </xdr:twoCellAnchor>
</xdr:wsDr>
</file>

<file path=xl/tables/table1.xml><?xml version="1.0" encoding="utf-8"?>
<table xmlns="http://schemas.openxmlformats.org/spreadsheetml/2006/main" id="4" name="Table4" displayName="Table4" ref="A1:A4" totalsRowShown="0">
  <autoFilter ref="A1:A4"/>
  <tableColumns count="1">
    <tableColumn id="1" name="Revenue"/>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A6" totalsRowShown="0">
  <autoFilter ref="A1:A6"/>
  <tableColumns count="1">
    <tableColumn id="1" name="Costs"/>
  </tableColumns>
  <tableStyleInfo name="TableStyleMedium2" showFirstColumn="0" showLastColumn="0" showRowStripes="1" showColumnStripes="0"/>
</table>
</file>

<file path=xl/tables/table3.xml><?xml version="1.0" encoding="utf-8"?>
<table xmlns="http://schemas.openxmlformats.org/spreadsheetml/2006/main" id="6" name="Table8" displayName="Table8" ref="A1:A4" totalsRowShown="0">
  <autoFilter ref="A1:A4"/>
  <tableColumns count="1">
    <tableColumn id="1" name="Scenario_Togg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robertkelchen.com/2021/12/16/how-colleges-carnegie-classifications-have-changed-over-time-2/" TargetMode="External"/><Relationship Id="rId8" Type="http://schemas.openxmlformats.org/officeDocument/2006/relationships/hyperlink" Target="https://carnegieclassifications.acenet.edu/institutions/?inst=&amp;research2025%5B%5D=2" TargetMode="External"/><Relationship Id="rId7" Type="http://schemas.openxmlformats.org/officeDocument/2006/relationships/hyperlink" Target="https://carnegieclassifications.acenet.edu/institutions/?inst=&amp;research2025%5B%5D=1" TargetMode="External"/><Relationship Id="rId6" Type="http://schemas.openxmlformats.org/officeDocument/2006/relationships/hyperlink" Target="https://firstmonday.org/ojs/index.php/fm/article/view/4370/3685" TargetMode="External"/><Relationship Id="rId5" Type="http://schemas.openxmlformats.org/officeDocument/2006/relationships/hyperlink" Target="https://www.linkedin.com/pulse/hidden-fortune-academic-publishers-closer-look-industrys-kannan-cmxac/" TargetMode="External"/><Relationship Id="rId4" Type="http://schemas.openxmlformats.org/officeDocument/2006/relationships/hyperlink" Target="https://marketintelo.com/report/academic-publishing-market" TargetMode="External"/><Relationship Id="rId3" Type="http://schemas.openxmlformats.org/officeDocument/2006/relationships/vmlDrawing" Target="../drawings/vmlDrawing1.vml"/><Relationship Id="rId2" Type="http://schemas.openxmlformats.org/officeDocument/2006/relationships/drawing" Target="../drawings/drawing3.xml"/><Relationship Id="rId13" Type="http://schemas.openxmlformats.org/officeDocument/2006/relationships/hyperlink" Target="https://www.globalinsightservices.com/reports/academic-software-market/" TargetMode="External"/><Relationship Id="rId12" Type="http://schemas.openxmlformats.org/officeDocument/2006/relationships/hyperlink" Target="https://research-and-innovation.ec.europa.eu/system/files/2022-07/ec_rtd_srip-2022-report-chapter-6.pdf" TargetMode="External"/><Relationship Id="rId11" Type="http://schemas.openxmlformats.org/officeDocument/2006/relationships/hyperlink" Target="https://nces.ed.gov/programs/digest/d18/tables/dt18_317.40.asp" TargetMode="External"/><Relationship Id="rId10" Type="http://schemas.openxmlformats.org/officeDocument/2006/relationships/hyperlink" Target="https://www.grandviewresearch.com/industry-analysis/ai-datasets-licensing-academic-research-publishing-market-report"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A23"/>
  <sheetViews>
    <sheetView showGridLines="0" zoomScale="79" zoomScaleNormal="79" workbookViewId="0">
      <selection activeCell="C33" sqref="C28:C33"/>
    </sheetView>
  </sheetViews>
  <sheetFormatPr defaultColWidth="8.66071428571429" defaultRowHeight="16.8"/>
  <cols>
    <col min="1" max="1" width="4.5" style="4" customWidth="1"/>
    <col min="2" max="2" width="4.33035714285714" style="4" customWidth="1"/>
    <col min="3" max="3" width="36.6607142857143" style="4" customWidth="1"/>
    <col min="4" max="4" width="26.3303571428571" style="4" customWidth="1"/>
    <col min="5" max="8" width="15.6607142857143" style="4" customWidth="1"/>
    <col min="9" max="16384" width="8.66071428571429" style="4"/>
  </cols>
  <sheetData>
    <row r="1" ht="10.5" customHeight="1"/>
    <row r="2" ht="38.5" customHeight="1" spans="2:8">
      <c r="B2" s="6"/>
      <c r="C2" s="6"/>
      <c r="D2" s="8" t="s">
        <v>0</v>
      </c>
      <c r="E2" s="8"/>
      <c r="F2" s="8"/>
      <c r="G2" s="8"/>
      <c r="H2" s="8"/>
    </row>
    <row r="3" ht="16" customHeight="1" spans="4:8">
      <c r="D3" s="9"/>
      <c r="E3" s="9"/>
      <c r="F3" s="9"/>
      <c r="G3" s="9"/>
      <c r="H3" s="9"/>
    </row>
    <row r="4" ht="23.5" customHeight="1" spans="4:8">
      <c r="D4" s="9" t="s">
        <v>1</v>
      </c>
      <c r="E4" s="9"/>
      <c r="F4" s="9"/>
      <c r="G4" s="9"/>
      <c r="H4" s="9"/>
    </row>
    <row r="5" ht="21.5" customHeight="1"/>
    <row r="6" ht="17.55" spans="1:27">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9" spans="2:9">
      <c r="B9" s="231"/>
      <c r="C9" s="231"/>
      <c r="D9" s="231"/>
      <c r="E9" s="231"/>
      <c r="F9" s="231"/>
      <c r="G9" s="231"/>
      <c r="H9" s="231"/>
      <c r="I9" s="231"/>
    </row>
    <row r="10" ht="14.5" customHeight="1" spans="2:9">
      <c r="B10" s="231"/>
      <c r="C10" s="231"/>
      <c r="D10" s="231"/>
      <c r="E10" s="231"/>
      <c r="F10" s="231"/>
      <c r="G10" s="231"/>
      <c r="H10" s="231"/>
      <c r="I10" s="231"/>
    </row>
    <row r="11" ht="20.4" spans="2:9">
      <c r="B11" s="231"/>
      <c r="C11" s="250" t="s">
        <v>2</v>
      </c>
      <c r="D11" s="231"/>
      <c r="E11" s="231"/>
      <c r="F11" s="231"/>
      <c r="G11" s="231"/>
      <c r="H11" s="231"/>
      <c r="I11" s="231"/>
    </row>
    <row r="12" spans="2:9">
      <c r="B12" s="231"/>
      <c r="C12" s="251"/>
      <c r="D12" s="251"/>
      <c r="E12" s="251"/>
      <c r="F12" s="231"/>
      <c r="G12" s="231"/>
      <c r="H12" s="231"/>
      <c r="I12" s="231"/>
    </row>
    <row r="13" ht="18.75" spans="2:9">
      <c r="B13" s="231"/>
      <c r="C13" s="237" t="s">
        <v>3</v>
      </c>
      <c r="D13" s="237" t="s">
        <v>4</v>
      </c>
      <c r="E13" s="237" t="s">
        <v>5</v>
      </c>
      <c r="F13" s="237"/>
      <c r="G13" s="237"/>
      <c r="H13" s="237"/>
      <c r="I13" s="231"/>
    </row>
    <row r="14" ht="32.5" customHeight="1" spans="2:9">
      <c r="B14" s="231"/>
      <c r="C14" s="252" t="s">
        <v>6</v>
      </c>
      <c r="D14" s="253">
        <v>1</v>
      </c>
      <c r="E14" s="264" t="s">
        <v>7</v>
      </c>
      <c r="F14" s="264"/>
      <c r="G14" s="264"/>
      <c r="H14" s="264"/>
      <c r="I14" s="231"/>
    </row>
    <row r="15" ht="45" customHeight="1" spans="2:9">
      <c r="B15" s="231"/>
      <c r="C15" s="254" t="s">
        <v>8</v>
      </c>
      <c r="D15" s="255">
        <v>2</v>
      </c>
      <c r="E15" s="265" t="s">
        <v>9</v>
      </c>
      <c r="F15" s="265"/>
      <c r="G15" s="265"/>
      <c r="H15" s="265"/>
      <c r="I15" s="231"/>
    </row>
    <row r="16" ht="32" customHeight="1" spans="2:9">
      <c r="B16" s="231"/>
      <c r="C16" s="256" t="s">
        <v>10</v>
      </c>
      <c r="D16" s="236">
        <v>3</v>
      </c>
      <c r="E16" s="245" t="s">
        <v>11</v>
      </c>
      <c r="F16" s="245"/>
      <c r="G16" s="245"/>
      <c r="H16" s="245"/>
      <c r="I16" s="231"/>
    </row>
    <row r="17" ht="31.5" customHeight="1" spans="2:9">
      <c r="B17" s="231"/>
      <c r="C17" s="257" t="s">
        <v>12</v>
      </c>
      <c r="D17" s="258">
        <v>3.1</v>
      </c>
      <c r="E17" s="247" t="s">
        <v>13</v>
      </c>
      <c r="F17" s="247"/>
      <c r="G17" s="247"/>
      <c r="H17" s="247"/>
      <c r="I17" s="231"/>
    </row>
    <row r="18" ht="32.5" customHeight="1" spans="2:9">
      <c r="B18" s="231"/>
      <c r="C18" s="259" t="s">
        <v>14</v>
      </c>
      <c r="D18" s="236">
        <v>4</v>
      </c>
      <c r="E18" s="245" t="s">
        <v>15</v>
      </c>
      <c r="F18" s="245"/>
      <c r="G18" s="245"/>
      <c r="H18" s="245"/>
      <c r="I18" s="231"/>
    </row>
    <row r="19" ht="37.5" customHeight="1" spans="2:9">
      <c r="B19" s="231"/>
      <c r="C19" s="257" t="s">
        <v>16</v>
      </c>
      <c r="D19" s="260">
        <v>4.1</v>
      </c>
      <c r="E19" s="247" t="s">
        <v>17</v>
      </c>
      <c r="F19" s="247"/>
      <c r="G19" s="247"/>
      <c r="H19" s="247"/>
      <c r="I19" s="231"/>
    </row>
    <row r="20" ht="14" customHeight="1" spans="2:9">
      <c r="B20" s="231"/>
      <c r="C20" s="240"/>
      <c r="D20" s="236"/>
      <c r="E20" s="245"/>
      <c r="F20" s="245"/>
      <c r="G20" s="245"/>
      <c r="H20" s="245"/>
      <c r="I20" s="231"/>
    </row>
    <row r="21" spans="2:9">
      <c r="B21" s="231"/>
      <c r="C21" s="261"/>
      <c r="D21" s="262"/>
      <c r="E21" s="231"/>
      <c r="F21" s="231"/>
      <c r="G21" s="231"/>
      <c r="H21" s="231"/>
      <c r="I21" s="231"/>
    </row>
    <row r="22" spans="2:9">
      <c r="B22" s="231"/>
      <c r="C22" s="263">
        <v>45962</v>
      </c>
      <c r="D22" s="263"/>
      <c r="E22" s="263"/>
      <c r="F22" s="231"/>
      <c r="G22" s="231"/>
      <c r="H22" s="231"/>
      <c r="I22" s="231"/>
    </row>
    <row r="23" ht="14.5" customHeight="1" spans="2:9">
      <c r="B23" s="231"/>
      <c r="C23" s="231"/>
      <c r="D23" s="231"/>
      <c r="E23" s="231"/>
      <c r="F23" s="231"/>
      <c r="G23" s="231"/>
      <c r="H23" s="231"/>
      <c r="I23" s="231"/>
    </row>
  </sheetData>
  <mergeCells count="10">
    <mergeCell ref="D2:H2"/>
    <mergeCell ref="D3:H3"/>
    <mergeCell ref="D4:H4"/>
    <mergeCell ref="E13:H13"/>
    <mergeCell ref="E14:H14"/>
    <mergeCell ref="E15:H15"/>
    <mergeCell ref="E16:H16"/>
    <mergeCell ref="E17:H17"/>
    <mergeCell ref="E18:H18"/>
    <mergeCell ref="E19:H19"/>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A34"/>
  <sheetViews>
    <sheetView showGridLines="0" zoomScale="81" zoomScaleNormal="81" topLeftCell="A4" workbookViewId="0">
      <selection activeCell="D5" sqref="D5:H5"/>
    </sheetView>
  </sheetViews>
  <sheetFormatPr defaultColWidth="8.66071428571429" defaultRowHeight="16.8"/>
  <cols>
    <col min="1" max="1" width="4.5" style="4" customWidth="1"/>
    <col min="2" max="2" width="4.33035714285714" style="4" customWidth="1"/>
    <col min="3" max="3" width="36.6607142857143" style="4" customWidth="1"/>
    <col min="4" max="7" width="26.3303571428571" style="4" customWidth="1"/>
    <col min="8" max="8" width="28.6607142857143" style="4" customWidth="1"/>
    <col min="9" max="16384" width="8.66071428571429" style="4"/>
  </cols>
  <sheetData>
    <row r="1" ht="10.5" customHeight="1"/>
    <row r="2" ht="38.5" customHeight="1" spans="2:8">
      <c r="B2" s="6"/>
      <c r="C2" s="6"/>
      <c r="D2" s="8" t="s">
        <v>18</v>
      </c>
      <c r="E2" s="8"/>
      <c r="F2" s="8"/>
      <c r="G2" s="8"/>
      <c r="H2" s="8"/>
    </row>
    <row r="3" ht="16" customHeight="1" spans="4:8">
      <c r="D3" s="9"/>
      <c r="E3" s="9"/>
      <c r="F3" s="9"/>
      <c r="G3" s="9"/>
      <c r="H3" s="9"/>
    </row>
    <row r="4" ht="23.5" customHeight="1" spans="4:8">
      <c r="D4" s="9" t="s">
        <v>19</v>
      </c>
      <c r="E4" s="9"/>
      <c r="F4" s="9"/>
      <c r="G4" s="9"/>
      <c r="H4" s="9"/>
    </row>
    <row r="5" ht="21.5" customHeight="1" spans="4:8">
      <c r="D5" s="9" t="s">
        <v>20</v>
      </c>
      <c r="E5" s="9"/>
      <c r="F5" s="9"/>
      <c r="G5" s="9"/>
      <c r="H5" s="9"/>
    </row>
    <row r="6" ht="37" customHeight="1" spans="4:8">
      <c r="D6" s="9" t="s">
        <v>21</v>
      </c>
      <c r="E6" s="9"/>
      <c r="F6" s="9"/>
      <c r="G6" s="9"/>
      <c r="H6" s="9"/>
    </row>
    <row r="7" ht="17.55" spans="1:27">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10" spans="2:9">
      <c r="B10" s="231"/>
      <c r="C10" s="231"/>
      <c r="D10" s="231"/>
      <c r="E10" s="231"/>
      <c r="F10" s="231"/>
      <c r="G10" s="231"/>
      <c r="H10" s="231"/>
      <c r="I10" s="231"/>
    </row>
    <row r="11" ht="22" customHeight="1" spans="2:9">
      <c r="B11" s="231"/>
      <c r="C11" s="232" t="s">
        <v>22</v>
      </c>
      <c r="D11" s="232"/>
      <c r="E11" s="232"/>
      <c r="F11" s="232"/>
      <c r="G11" s="232"/>
      <c r="H11" s="232"/>
      <c r="I11" s="231"/>
    </row>
    <row r="12" ht="22" customHeight="1" spans="2:9">
      <c r="B12" s="231"/>
      <c r="C12" s="233" t="s">
        <v>23</v>
      </c>
      <c r="D12" s="233"/>
      <c r="E12" s="233"/>
      <c r="F12" s="233"/>
      <c r="G12" s="233"/>
      <c r="H12" s="233"/>
      <c r="I12" s="231"/>
    </row>
    <row r="13" ht="22" customHeight="1" spans="2:9">
      <c r="B13" s="231"/>
      <c r="C13" s="233" t="s">
        <v>24</v>
      </c>
      <c r="D13" s="233"/>
      <c r="E13" s="233"/>
      <c r="F13" s="233"/>
      <c r="G13" s="233"/>
      <c r="H13" s="233"/>
      <c r="I13" s="231"/>
    </row>
    <row r="14" ht="22" customHeight="1" spans="2:9">
      <c r="B14" s="231"/>
      <c r="C14" s="233" t="s">
        <v>25</v>
      </c>
      <c r="D14" s="233"/>
      <c r="E14" s="233"/>
      <c r="F14" s="233"/>
      <c r="G14" s="233"/>
      <c r="H14" s="233"/>
      <c r="I14" s="231"/>
    </row>
    <row r="15" ht="22" customHeight="1" spans="2:9">
      <c r="B15" s="231"/>
      <c r="C15" s="233" t="s">
        <v>26</v>
      </c>
      <c r="D15" s="233"/>
      <c r="E15" s="233"/>
      <c r="F15" s="233"/>
      <c r="G15" s="233"/>
      <c r="H15" s="233"/>
      <c r="I15" s="231"/>
    </row>
    <row r="16" ht="22" customHeight="1" spans="2:9">
      <c r="B16" s="231"/>
      <c r="C16" s="233" t="s">
        <v>27</v>
      </c>
      <c r="D16" s="233"/>
      <c r="E16" s="233"/>
      <c r="F16" s="233"/>
      <c r="G16" s="233"/>
      <c r="H16" s="233"/>
      <c r="I16" s="231"/>
    </row>
    <row r="17" ht="22" customHeight="1" spans="2:9">
      <c r="B17" s="231"/>
      <c r="C17" s="234"/>
      <c r="D17" s="234"/>
      <c r="E17" s="234"/>
      <c r="F17" s="234"/>
      <c r="G17" s="234"/>
      <c r="H17" s="234"/>
      <c r="I17" s="231"/>
    </row>
    <row r="18" ht="22" customHeight="1" spans="2:9">
      <c r="B18" s="231"/>
      <c r="C18" s="232" t="s">
        <v>28</v>
      </c>
      <c r="D18" s="232"/>
      <c r="E18" s="232"/>
      <c r="F18" s="232"/>
      <c r="G18" s="232"/>
      <c r="H18" s="232"/>
      <c r="I18" s="231"/>
    </row>
    <row r="19" ht="22" customHeight="1" spans="2:9">
      <c r="B19" s="231"/>
      <c r="C19" s="233" t="s">
        <v>29</v>
      </c>
      <c r="D19" s="233"/>
      <c r="E19" s="233"/>
      <c r="F19" s="233"/>
      <c r="G19" s="233"/>
      <c r="H19" s="233"/>
      <c r="I19" s="231"/>
    </row>
    <row r="20" ht="22" customHeight="1" spans="2:9">
      <c r="B20" s="231"/>
      <c r="C20" s="233" t="s">
        <v>30</v>
      </c>
      <c r="D20" s="233"/>
      <c r="E20" s="233"/>
      <c r="F20" s="233"/>
      <c r="G20" s="233"/>
      <c r="H20" s="233"/>
      <c r="I20" s="231"/>
    </row>
    <row r="21" ht="22" customHeight="1" spans="2:9">
      <c r="B21" s="231"/>
      <c r="C21" s="231"/>
      <c r="D21" s="231"/>
      <c r="E21" s="231"/>
      <c r="F21" s="231"/>
      <c r="G21" s="231"/>
      <c r="H21" s="231"/>
      <c r="I21" s="231"/>
    </row>
    <row r="22" ht="22" customHeight="1" spans="2:9">
      <c r="B22" s="231"/>
      <c r="C22" s="235" t="s">
        <v>31</v>
      </c>
      <c r="D22" s="236"/>
      <c r="E22" s="245"/>
      <c r="F22" s="245"/>
      <c r="G22" s="245"/>
      <c r="H22" s="245"/>
      <c r="I22" s="231"/>
    </row>
    <row r="23" ht="22" customHeight="1" spans="2:9">
      <c r="B23" s="231"/>
      <c r="C23" s="237" t="s">
        <v>32</v>
      </c>
      <c r="D23" s="237" t="s">
        <v>33</v>
      </c>
      <c r="E23" s="237" t="s">
        <v>34</v>
      </c>
      <c r="F23" s="237"/>
      <c r="G23" s="237"/>
      <c r="H23" s="237"/>
      <c r="I23" s="231"/>
    </row>
    <row r="24" ht="22" customHeight="1" spans="2:9">
      <c r="B24" s="231"/>
      <c r="C24" s="238" t="s">
        <v>35</v>
      </c>
      <c r="D24" s="239" t="s">
        <v>36</v>
      </c>
      <c r="E24" s="246" t="s">
        <v>37</v>
      </c>
      <c r="F24" s="246"/>
      <c r="G24" s="246"/>
      <c r="H24" s="246"/>
      <c r="I24" s="231"/>
    </row>
    <row r="25" ht="22" customHeight="1" spans="2:9">
      <c r="B25" s="231"/>
      <c r="C25" s="240" t="s">
        <v>38</v>
      </c>
      <c r="D25" s="241"/>
      <c r="E25" s="245"/>
      <c r="F25" s="245"/>
      <c r="G25" s="245"/>
      <c r="H25" s="245"/>
      <c r="I25" s="231"/>
    </row>
    <row r="26" ht="22" customHeight="1" spans="2:9">
      <c r="B26" s="231"/>
      <c r="C26" s="242" t="s">
        <v>39</v>
      </c>
      <c r="D26" s="243"/>
      <c r="E26" s="247"/>
      <c r="F26" s="247"/>
      <c r="G26" s="247"/>
      <c r="H26" s="247"/>
      <c r="I26" s="231"/>
    </row>
    <row r="27" ht="22" customHeight="1" spans="2:9">
      <c r="B27" s="231"/>
      <c r="C27" s="240" t="s">
        <v>40</v>
      </c>
      <c r="D27" s="244" t="s">
        <v>41</v>
      </c>
      <c r="E27" s="248" t="s">
        <v>42</v>
      </c>
      <c r="F27" s="248"/>
      <c r="G27" s="248"/>
      <c r="H27" s="248"/>
      <c r="I27" s="231"/>
    </row>
    <row r="28" ht="22" customHeight="1" spans="2:9">
      <c r="B28" s="231"/>
      <c r="C28" s="240" t="s">
        <v>43</v>
      </c>
      <c r="D28" s="241"/>
      <c r="E28" s="245"/>
      <c r="F28" s="245"/>
      <c r="G28" s="245"/>
      <c r="H28" s="245"/>
      <c r="I28" s="231"/>
    </row>
    <row r="29" ht="22" customHeight="1" spans="2:9">
      <c r="B29" s="231"/>
      <c r="C29" s="242" t="s">
        <v>44</v>
      </c>
      <c r="D29" s="243"/>
      <c r="E29" s="247"/>
      <c r="F29" s="247"/>
      <c r="G29" s="247"/>
      <c r="H29" s="247"/>
      <c r="I29" s="231"/>
    </row>
    <row r="30" ht="22" customHeight="1" spans="2:9">
      <c r="B30" s="231"/>
      <c r="C30" s="240" t="s">
        <v>45</v>
      </c>
      <c r="D30" s="244" t="s">
        <v>46</v>
      </c>
      <c r="E30" s="248" t="s">
        <v>47</v>
      </c>
      <c r="F30" s="248"/>
      <c r="G30" s="248"/>
      <c r="H30" s="248"/>
      <c r="I30" s="231"/>
    </row>
    <row r="31" ht="22" customHeight="1" spans="2:9">
      <c r="B31" s="231"/>
      <c r="C31" s="240" t="s">
        <v>48</v>
      </c>
      <c r="D31" s="241"/>
      <c r="E31" s="245"/>
      <c r="F31" s="245"/>
      <c r="G31" s="245"/>
      <c r="H31" s="245"/>
      <c r="I31" s="231"/>
    </row>
    <row r="32" ht="22" customHeight="1" spans="2:9">
      <c r="B32" s="231"/>
      <c r="C32" s="240" t="s">
        <v>49</v>
      </c>
      <c r="D32" s="241"/>
      <c r="E32" s="245"/>
      <c r="F32" s="245"/>
      <c r="G32" s="245"/>
      <c r="H32" s="245"/>
      <c r="I32" s="231"/>
    </row>
    <row r="33" ht="22" customHeight="1" spans="2:9">
      <c r="B33" s="231"/>
      <c r="C33" s="240"/>
      <c r="D33" s="241"/>
      <c r="E33" s="249"/>
      <c r="F33" s="249"/>
      <c r="G33" s="249"/>
      <c r="H33" s="249"/>
      <c r="I33" s="231"/>
    </row>
    <row r="34" ht="22" customHeight="1" spans="2:9">
      <c r="B34" s="231"/>
      <c r="C34" s="240"/>
      <c r="D34" s="236"/>
      <c r="E34" s="245"/>
      <c r="F34" s="245"/>
      <c r="G34" s="245"/>
      <c r="H34" s="245"/>
      <c r="I34" s="231"/>
    </row>
  </sheetData>
  <mergeCells count="21">
    <mergeCell ref="D2:H2"/>
    <mergeCell ref="D3:H3"/>
    <mergeCell ref="D4:H4"/>
    <mergeCell ref="D5:H5"/>
    <mergeCell ref="D6:H6"/>
    <mergeCell ref="C11:H11"/>
    <mergeCell ref="C12:H12"/>
    <mergeCell ref="C13:H13"/>
    <mergeCell ref="C14:H14"/>
    <mergeCell ref="C15:H15"/>
    <mergeCell ref="C16:H16"/>
    <mergeCell ref="C18:H18"/>
    <mergeCell ref="C19:H19"/>
    <mergeCell ref="C20:H20"/>
    <mergeCell ref="E23:H23"/>
    <mergeCell ref="D24:D26"/>
    <mergeCell ref="D27:D29"/>
    <mergeCell ref="D30:D32"/>
    <mergeCell ref="E30:H32"/>
    <mergeCell ref="E27:H29"/>
    <mergeCell ref="E24:H26"/>
  </mergeCell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Z89"/>
  <sheetViews>
    <sheetView showGridLines="0" zoomScale="91" zoomScaleNormal="91" topLeftCell="M19" workbookViewId="0">
      <selection activeCell="S24" sqref="S24"/>
    </sheetView>
  </sheetViews>
  <sheetFormatPr defaultColWidth="8.66071428571429" defaultRowHeight="16.8"/>
  <cols>
    <col min="1" max="1" width="4.5" style="4" customWidth="1"/>
    <col min="2" max="2" width="4.33035714285714" style="4" customWidth="1"/>
    <col min="3" max="3" width="36.6607142857143" style="4" customWidth="1"/>
    <col min="4" max="4" width="26.3303571428571" style="4" customWidth="1"/>
    <col min="5" max="5" width="29.6607142857143" style="4" customWidth="1"/>
    <col min="6" max="6" width="26.3303571428571" style="4" customWidth="1"/>
    <col min="7" max="7" width="84.8303571428571" style="5" customWidth="1"/>
    <col min="8" max="8" width="28.6607142857143" style="4" customWidth="1"/>
    <col min="9" max="9" width="22.1607142857143" style="4" customWidth="1"/>
    <col min="10" max="10" width="21.3303571428571" style="4" customWidth="1"/>
    <col min="11" max="11" width="39.6607142857143" style="4" customWidth="1"/>
    <col min="12" max="12" width="31.5" style="129" customWidth="1"/>
    <col min="13" max="13" width="106.830357142857" style="14" customWidth="1"/>
    <col min="14" max="15" width="31.5" style="4" customWidth="1"/>
    <col min="16" max="16384" width="8.66071428571429" style="4"/>
  </cols>
  <sheetData>
    <row r="1" ht="10.5" customHeight="1"/>
    <row r="2" ht="38.5" customHeight="1" spans="2:8">
      <c r="B2" s="6"/>
      <c r="C2" s="6"/>
      <c r="D2" s="8" t="s">
        <v>50</v>
      </c>
      <c r="E2" s="8"/>
      <c r="F2" s="8"/>
      <c r="G2" s="8"/>
      <c r="H2" s="8"/>
    </row>
    <row r="3" ht="16" customHeight="1" spans="4:8">
      <c r="D3" s="9"/>
      <c r="E3" s="9"/>
      <c r="F3" s="9"/>
      <c r="G3" s="9"/>
      <c r="H3" s="9"/>
    </row>
    <row r="4" ht="23.5" customHeight="1" spans="4:8">
      <c r="D4" s="9" t="s">
        <v>51</v>
      </c>
      <c r="E4" s="9"/>
      <c r="F4" s="9"/>
      <c r="G4" s="9"/>
      <c r="H4" s="9"/>
    </row>
    <row r="5" ht="21.5" customHeight="1" spans="4:8">
      <c r="D5" s="9" t="s">
        <v>52</v>
      </c>
      <c r="E5" s="9"/>
      <c r="F5" s="9"/>
      <c r="G5" s="9"/>
      <c r="H5" s="9"/>
    </row>
    <row r="6" ht="17.55" spans="1:26">
      <c r="A6" s="11"/>
      <c r="B6" s="11"/>
      <c r="C6" s="11"/>
      <c r="D6" s="11"/>
      <c r="E6" s="11"/>
      <c r="F6" s="11"/>
      <c r="G6" s="12"/>
      <c r="H6" s="11"/>
      <c r="I6" s="11"/>
      <c r="J6" s="11"/>
      <c r="K6" s="11"/>
      <c r="L6" s="170"/>
      <c r="M6" s="214"/>
      <c r="N6" s="11"/>
      <c r="O6" s="11"/>
      <c r="P6" s="11"/>
      <c r="Q6" s="11"/>
      <c r="R6" s="11"/>
      <c r="S6" s="11"/>
      <c r="T6" s="11"/>
      <c r="U6" s="11"/>
      <c r="V6" s="11"/>
      <c r="W6" s="11"/>
      <c r="X6" s="11"/>
      <c r="Y6" s="11"/>
      <c r="Z6" s="11"/>
    </row>
    <row r="8" spans="12:12">
      <c r="L8" s="171"/>
    </row>
    <row r="9" ht="20.4" spans="3:13">
      <c r="C9" s="130" t="s">
        <v>53</v>
      </c>
      <c r="I9" s="172" t="s">
        <v>54</v>
      </c>
      <c r="J9" s="173"/>
      <c r="K9" s="173"/>
      <c r="L9" s="174"/>
      <c r="M9" s="215"/>
    </row>
    <row r="10" spans="5:13">
      <c r="E10" s="79" t="s">
        <v>55</v>
      </c>
      <c r="I10" s="173"/>
      <c r="J10" s="173"/>
      <c r="K10" s="173"/>
      <c r="L10" s="79" t="s">
        <v>55</v>
      </c>
      <c r="M10" s="215"/>
    </row>
    <row r="11" ht="28" customHeight="1" spans="3:13">
      <c r="C11" s="131" t="s">
        <v>56</v>
      </c>
      <c r="D11" s="132" t="s">
        <v>57</v>
      </c>
      <c r="E11" s="132" t="s">
        <v>58</v>
      </c>
      <c r="F11" s="145" t="s">
        <v>59</v>
      </c>
      <c r="G11" s="132" t="s">
        <v>60</v>
      </c>
      <c r="I11" s="175" t="s">
        <v>56</v>
      </c>
      <c r="J11" s="175" t="s">
        <v>61</v>
      </c>
      <c r="K11" s="176" t="s">
        <v>57</v>
      </c>
      <c r="L11" s="177" t="s">
        <v>58</v>
      </c>
      <c r="M11" s="177" t="s">
        <v>62</v>
      </c>
    </row>
    <row r="12" ht="30" customHeight="1" spans="3:13">
      <c r="C12" s="133" t="s">
        <v>63</v>
      </c>
      <c r="D12" s="134" t="s">
        <v>64</v>
      </c>
      <c r="E12" s="146">
        <v>25600000000</v>
      </c>
      <c r="F12" s="147" t="s">
        <v>65</v>
      </c>
      <c r="G12" s="148" t="s">
        <v>66</v>
      </c>
      <c r="I12" s="178" t="s">
        <v>67</v>
      </c>
      <c r="J12" s="179" t="s">
        <v>68</v>
      </c>
      <c r="K12" s="180" t="s">
        <v>69</v>
      </c>
      <c r="L12" s="181">
        <v>0.1</v>
      </c>
      <c r="M12" s="216" t="s">
        <v>70</v>
      </c>
    </row>
    <row r="13" ht="31" spans="3:13">
      <c r="C13" s="133"/>
      <c r="D13" s="134" t="s">
        <v>71</v>
      </c>
      <c r="E13" s="149">
        <v>0.046</v>
      </c>
      <c r="F13" s="150" t="s">
        <v>72</v>
      </c>
      <c r="G13" s="148" t="s">
        <v>66</v>
      </c>
      <c r="I13" s="182"/>
      <c r="J13" s="179"/>
      <c r="K13" s="180" t="s">
        <v>73</v>
      </c>
      <c r="L13" s="183">
        <v>0</v>
      </c>
      <c r="M13" s="216" t="s">
        <v>74</v>
      </c>
    </row>
    <row r="14" ht="31" spans="3:13">
      <c r="C14" s="133"/>
      <c r="D14" s="134" t="s">
        <v>75</v>
      </c>
      <c r="E14" s="91">
        <v>0.3</v>
      </c>
      <c r="F14" s="147" t="s">
        <v>65</v>
      </c>
      <c r="G14" s="134" t="s">
        <v>76</v>
      </c>
      <c r="I14" s="182"/>
      <c r="J14" s="179"/>
      <c r="K14" s="180" t="s">
        <v>77</v>
      </c>
      <c r="L14" s="183">
        <v>0.05</v>
      </c>
      <c r="M14" s="216" t="s">
        <v>74</v>
      </c>
    </row>
    <row r="15" ht="76" spans="3:13">
      <c r="C15" s="133"/>
      <c r="D15" s="134" t="s">
        <v>78</v>
      </c>
      <c r="E15" s="91">
        <f>0.16+0.15+0.13+0.1+0.06</f>
        <v>0.6</v>
      </c>
      <c r="F15" s="150" t="s">
        <v>72</v>
      </c>
      <c r="G15" s="148" t="s">
        <v>79</v>
      </c>
      <c r="I15" s="182"/>
      <c r="J15" s="179"/>
      <c r="K15" s="180" t="s">
        <v>80</v>
      </c>
      <c r="L15" s="183">
        <v>0.75</v>
      </c>
      <c r="M15" s="216" t="s">
        <v>74</v>
      </c>
    </row>
    <row r="16" ht="46" spans="3:13">
      <c r="C16" s="133"/>
      <c r="D16" s="134" t="s">
        <v>81</v>
      </c>
      <c r="E16" s="91">
        <v>0.17</v>
      </c>
      <c r="F16" s="147" t="s">
        <v>65</v>
      </c>
      <c r="G16" s="148" t="s">
        <v>82</v>
      </c>
      <c r="I16" s="182"/>
      <c r="J16" s="179"/>
      <c r="K16" s="180" t="s">
        <v>83</v>
      </c>
      <c r="L16" s="183">
        <v>1</v>
      </c>
      <c r="M16" s="216" t="s">
        <v>74</v>
      </c>
    </row>
    <row r="17" ht="31" spans="3:13">
      <c r="C17" s="133"/>
      <c r="D17" s="134" t="s">
        <v>84</v>
      </c>
      <c r="E17" s="91">
        <v>0.04</v>
      </c>
      <c r="F17" s="147" t="s">
        <v>65</v>
      </c>
      <c r="G17" s="148" t="s">
        <v>82</v>
      </c>
      <c r="I17" s="182"/>
      <c r="J17" s="179"/>
      <c r="K17" s="180" t="s">
        <v>85</v>
      </c>
      <c r="L17" s="183">
        <v>1.25</v>
      </c>
      <c r="M17" s="216" t="s">
        <v>74</v>
      </c>
    </row>
    <row r="18" ht="46" spans="3:13">
      <c r="C18" s="133"/>
      <c r="D18" s="134" t="s">
        <v>86</v>
      </c>
      <c r="E18" s="91">
        <v>0.03</v>
      </c>
      <c r="F18" s="147" t="s">
        <v>65</v>
      </c>
      <c r="G18" s="148" t="s">
        <v>82</v>
      </c>
      <c r="I18" s="182"/>
      <c r="J18" s="184" t="s">
        <v>87</v>
      </c>
      <c r="K18" s="185" t="s">
        <v>88</v>
      </c>
      <c r="L18" s="186">
        <v>15</v>
      </c>
      <c r="M18" s="217" t="s">
        <v>89</v>
      </c>
    </row>
    <row r="19" ht="46" spans="3:13">
      <c r="C19" s="133"/>
      <c r="D19" s="134" t="s">
        <v>90</v>
      </c>
      <c r="E19" s="91">
        <v>0.03</v>
      </c>
      <c r="F19" s="147" t="s">
        <v>65</v>
      </c>
      <c r="G19" s="148" t="s">
        <v>82</v>
      </c>
      <c r="I19" s="182"/>
      <c r="J19" s="184"/>
      <c r="K19" s="185" t="s">
        <v>91</v>
      </c>
      <c r="L19" s="187">
        <v>1</v>
      </c>
      <c r="M19" s="217" t="s">
        <v>89</v>
      </c>
    </row>
    <row r="20" ht="46" spans="3:13">
      <c r="C20" s="135"/>
      <c r="D20" s="136" t="s">
        <v>92</v>
      </c>
      <c r="E20" s="151">
        <v>0.73</v>
      </c>
      <c r="F20" s="152" t="s">
        <v>65</v>
      </c>
      <c r="G20" s="153" t="s">
        <v>82</v>
      </c>
      <c r="I20" s="182"/>
      <c r="J20" s="184"/>
      <c r="K20" s="185" t="s">
        <v>93</v>
      </c>
      <c r="L20" s="187">
        <v>0</v>
      </c>
      <c r="M20" s="217" t="s">
        <v>89</v>
      </c>
    </row>
    <row r="21" ht="46" spans="3:13">
      <c r="C21" s="137" t="s">
        <v>94</v>
      </c>
      <c r="D21" s="138" t="s">
        <v>95</v>
      </c>
      <c r="E21" s="154">
        <f>40000</f>
        <v>40000</v>
      </c>
      <c r="F21" s="155" t="s">
        <v>65</v>
      </c>
      <c r="G21" s="138" t="s">
        <v>96</v>
      </c>
      <c r="I21" s="182"/>
      <c r="J21" s="184"/>
      <c r="K21" s="185" t="s">
        <v>97</v>
      </c>
      <c r="L21" s="188">
        <v>1</v>
      </c>
      <c r="M21" s="217" t="s">
        <v>98</v>
      </c>
    </row>
    <row r="22" ht="46" spans="3:13">
      <c r="C22" s="139"/>
      <c r="D22" s="140" t="s">
        <v>99</v>
      </c>
      <c r="E22" s="154">
        <f>0.4*E21</f>
        <v>16000</v>
      </c>
      <c r="F22" s="147" t="s">
        <v>65</v>
      </c>
      <c r="G22" s="140" t="s">
        <v>100</v>
      </c>
      <c r="I22" s="182"/>
      <c r="J22" s="184"/>
      <c r="K22" s="185" t="s">
        <v>101</v>
      </c>
      <c r="L22" s="188">
        <v>0.5</v>
      </c>
      <c r="M22" s="217" t="s">
        <v>102</v>
      </c>
    </row>
    <row r="23" ht="46" spans="3:13">
      <c r="C23" s="139"/>
      <c r="D23" s="140" t="s">
        <v>103</v>
      </c>
      <c r="E23" s="154">
        <f>0.2*E21</f>
        <v>8000</v>
      </c>
      <c r="F23" s="147" t="s">
        <v>65</v>
      </c>
      <c r="G23" s="140" t="s">
        <v>104</v>
      </c>
      <c r="I23" s="182"/>
      <c r="J23" s="184"/>
      <c r="K23" s="185" t="s">
        <v>105</v>
      </c>
      <c r="L23" s="188">
        <v>0.6</v>
      </c>
      <c r="M23" s="217" t="s">
        <v>98</v>
      </c>
    </row>
    <row r="24" ht="46" spans="3:13">
      <c r="C24" s="139"/>
      <c r="D24" s="140" t="s">
        <v>106</v>
      </c>
      <c r="E24" s="154">
        <f>0.05*E21</f>
        <v>2000</v>
      </c>
      <c r="F24" s="147" t="s">
        <v>65</v>
      </c>
      <c r="G24" s="140" t="s">
        <v>107</v>
      </c>
      <c r="I24" s="182"/>
      <c r="J24" s="184"/>
      <c r="K24" s="185" t="s">
        <v>108</v>
      </c>
      <c r="L24" s="188">
        <v>0.5</v>
      </c>
      <c r="M24" s="217" t="s">
        <v>109</v>
      </c>
    </row>
    <row r="25" ht="46" spans="3:13">
      <c r="C25" s="139"/>
      <c r="D25" s="140" t="s">
        <v>110</v>
      </c>
      <c r="E25" s="154">
        <f>0.05*E21</f>
        <v>2000</v>
      </c>
      <c r="F25" s="147" t="s">
        <v>65</v>
      </c>
      <c r="G25" s="140" t="s">
        <v>107</v>
      </c>
      <c r="I25" s="182"/>
      <c r="J25" s="184"/>
      <c r="K25" s="185" t="s">
        <v>111</v>
      </c>
      <c r="L25" s="189">
        <v>0</v>
      </c>
      <c r="M25" s="217" t="s">
        <v>112</v>
      </c>
    </row>
    <row r="26" ht="46" spans="3:13">
      <c r="C26" s="139"/>
      <c r="D26" s="140" t="s">
        <v>113</v>
      </c>
      <c r="E26" s="156">
        <v>0.95</v>
      </c>
      <c r="F26" s="147" t="s">
        <v>65</v>
      </c>
      <c r="G26" s="140" t="s">
        <v>74</v>
      </c>
      <c r="I26" s="182"/>
      <c r="J26" s="184"/>
      <c r="K26" s="185" t="s">
        <v>114</v>
      </c>
      <c r="L26" s="190">
        <v>200000</v>
      </c>
      <c r="M26" s="218" t="s">
        <v>115</v>
      </c>
    </row>
    <row r="27" ht="46" spans="3:13">
      <c r="C27" s="139"/>
      <c r="D27" s="140" t="s">
        <v>116</v>
      </c>
      <c r="E27" s="156">
        <v>0.8</v>
      </c>
      <c r="F27" s="147" t="s">
        <v>65</v>
      </c>
      <c r="G27" s="140" t="s">
        <v>74</v>
      </c>
      <c r="I27" s="182"/>
      <c r="J27" s="184"/>
      <c r="K27" s="185" t="s">
        <v>117</v>
      </c>
      <c r="L27" s="190">
        <f>0.9*L26</f>
        <v>180000</v>
      </c>
      <c r="M27" s="218" t="s">
        <v>118</v>
      </c>
    </row>
    <row r="28" ht="46" spans="3:13">
      <c r="C28" s="139"/>
      <c r="D28" s="140" t="s">
        <v>119</v>
      </c>
      <c r="E28" s="156">
        <v>0.6</v>
      </c>
      <c r="F28" s="147" t="s">
        <v>65</v>
      </c>
      <c r="G28" s="140" t="s">
        <v>74</v>
      </c>
      <c r="I28" s="182"/>
      <c r="J28" s="184"/>
      <c r="K28" s="191" t="s">
        <v>120</v>
      </c>
      <c r="L28" s="190">
        <f>0.8*L26</f>
        <v>160000</v>
      </c>
      <c r="M28" s="218" t="s">
        <v>121</v>
      </c>
    </row>
    <row r="29" ht="50" customHeight="1" spans="3:13">
      <c r="C29" s="139"/>
      <c r="D29" s="140" t="s">
        <v>122</v>
      </c>
      <c r="E29" s="156">
        <v>0.5</v>
      </c>
      <c r="F29" s="147" t="s">
        <v>65</v>
      </c>
      <c r="G29" s="140" t="s">
        <v>74</v>
      </c>
      <c r="I29" s="182"/>
      <c r="J29" s="184"/>
      <c r="K29" s="185" t="s">
        <v>123</v>
      </c>
      <c r="L29" s="190">
        <f>0.7*L26</f>
        <v>140000</v>
      </c>
      <c r="M29" s="218" t="s">
        <v>124</v>
      </c>
    </row>
    <row r="30" ht="46" spans="3:13">
      <c r="C30" s="139"/>
      <c r="D30" s="140" t="s">
        <v>125</v>
      </c>
      <c r="E30" s="156">
        <v>0.2</v>
      </c>
      <c r="F30" s="147" t="s">
        <v>65</v>
      </c>
      <c r="G30" s="140" t="s">
        <v>74</v>
      </c>
      <c r="I30" s="182"/>
      <c r="J30" s="184"/>
      <c r="K30" s="185" t="s">
        <v>126</v>
      </c>
      <c r="L30" s="190">
        <f>0.6*L26</f>
        <v>120000</v>
      </c>
      <c r="M30" s="218" t="s">
        <v>127</v>
      </c>
    </row>
    <row r="31" ht="31" spans="3:13">
      <c r="C31" s="139"/>
      <c r="D31" s="140" t="s">
        <v>128</v>
      </c>
      <c r="E31" s="157">
        <v>187</v>
      </c>
      <c r="F31" s="147" t="s">
        <v>65</v>
      </c>
      <c r="G31" s="158" t="s">
        <v>129</v>
      </c>
      <c r="I31" s="182"/>
      <c r="J31" s="184"/>
      <c r="K31" s="185" t="s">
        <v>130</v>
      </c>
      <c r="L31" s="192">
        <v>0</v>
      </c>
      <c r="M31" s="218" t="s">
        <v>131</v>
      </c>
    </row>
    <row r="32" ht="31" spans="3:13">
      <c r="C32" s="139"/>
      <c r="D32" s="140" t="s">
        <v>132</v>
      </c>
      <c r="E32" s="157">
        <v>139</v>
      </c>
      <c r="F32" s="147" t="s">
        <v>65</v>
      </c>
      <c r="G32" s="158" t="s">
        <v>133</v>
      </c>
      <c r="I32" s="182"/>
      <c r="J32" s="184"/>
      <c r="K32" s="185" t="s">
        <v>134</v>
      </c>
      <c r="L32" s="192">
        <v>0.05</v>
      </c>
      <c r="M32" s="218" t="s">
        <v>135</v>
      </c>
    </row>
    <row r="33" ht="30" customHeight="1" spans="3:13">
      <c r="C33" s="139"/>
      <c r="D33" s="140" t="s">
        <v>136</v>
      </c>
      <c r="E33" s="157">
        <v>189</v>
      </c>
      <c r="F33" s="147" t="s">
        <v>65</v>
      </c>
      <c r="G33" s="158" t="s">
        <v>137</v>
      </c>
      <c r="I33" s="182"/>
      <c r="J33" s="184"/>
      <c r="K33" s="140" t="s">
        <v>128</v>
      </c>
      <c r="L33" s="193">
        <f>E31</f>
        <v>187</v>
      </c>
      <c r="M33" s="219" t="s">
        <v>138</v>
      </c>
    </row>
    <row r="34" ht="31" spans="3:13">
      <c r="C34" s="139"/>
      <c r="D34" s="140" t="s">
        <v>139</v>
      </c>
      <c r="E34" s="157">
        <f>E42-SUM(E31:E33)</f>
        <v>555</v>
      </c>
      <c r="F34" s="147" t="s">
        <v>65</v>
      </c>
      <c r="G34" s="140" t="s">
        <v>140</v>
      </c>
      <c r="I34" s="182"/>
      <c r="J34" s="184"/>
      <c r="K34" s="140" t="s">
        <v>132</v>
      </c>
      <c r="L34" s="193">
        <f>E32</f>
        <v>139</v>
      </c>
      <c r="M34" s="219" t="s">
        <v>138</v>
      </c>
    </row>
    <row r="35" ht="31" spans="3:13">
      <c r="C35" s="139"/>
      <c r="D35" s="140" t="s">
        <v>141</v>
      </c>
      <c r="E35" s="159">
        <f>E45-SUM(E31:E34)</f>
        <v>5788.97435897436</v>
      </c>
      <c r="F35" s="147" t="s">
        <v>65</v>
      </c>
      <c r="G35" s="140" t="s">
        <v>140</v>
      </c>
      <c r="I35" s="182"/>
      <c r="J35" s="184"/>
      <c r="K35" s="140" t="s">
        <v>136</v>
      </c>
      <c r="L35" s="193">
        <f>E33</f>
        <v>189</v>
      </c>
      <c r="M35" s="219" t="s">
        <v>138</v>
      </c>
    </row>
    <row r="36" ht="31" spans="3:13">
      <c r="C36" s="141"/>
      <c r="D36" s="142" t="s">
        <v>142</v>
      </c>
      <c r="E36" s="160" t="s">
        <v>143</v>
      </c>
      <c r="F36" s="161" t="s">
        <v>72</v>
      </c>
      <c r="G36" s="142"/>
      <c r="I36" s="182"/>
      <c r="J36" s="184"/>
      <c r="K36" s="140" t="s">
        <v>139</v>
      </c>
      <c r="L36" s="193">
        <f>E34</f>
        <v>555</v>
      </c>
      <c r="M36" s="219" t="s">
        <v>138</v>
      </c>
    </row>
    <row r="37" ht="31" spans="3:13">
      <c r="C37" s="143" t="s">
        <v>144</v>
      </c>
      <c r="D37" s="144" t="s">
        <v>145</v>
      </c>
      <c r="E37" s="162">
        <v>381800000</v>
      </c>
      <c r="F37" s="155" t="s">
        <v>65</v>
      </c>
      <c r="G37" s="163" t="s">
        <v>146</v>
      </c>
      <c r="I37" s="182"/>
      <c r="J37" s="184"/>
      <c r="K37" s="140" t="s">
        <v>141</v>
      </c>
      <c r="L37" s="194">
        <f>E35</f>
        <v>5788.97435897436</v>
      </c>
      <c r="M37" s="219" t="s">
        <v>138</v>
      </c>
    </row>
    <row r="38" ht="31" spans="3:13">
      <c r="C38" s="133"/>
      <c r="D38" s="134" t="s">
        <v>147</v>
      </c>
      <c r="E38" s="149">
        <v>0.268</v>
      </c>
      <c r="F38" s="150" t="s">
        <v>72</v>
      </c>
      <c r="G38" s="148" t="s">
        <v>146</v>
      </c>
      <c r="I38" s="182"/>
      <c r="J38" s="195" t="s">
        <v>148</v>
      </c>
      <c r="K38" s="180" t="s">
        <v>149</v>
      </c>
      <c r="L38" s="196">
        <v>0</v>
      </c>
      <c r="M38" s="216" t="s">
        <v>150</v>
      </c>
    </row>
    <row r="39" ht="41" customHeight="1" spans="3:13">
      <c r="C39" s="133"/>
      <c r="D39" s="134" t="s">
        <v>151</v>
      </c>
      <c r="E39" s="149">
        <v>0.324</v>
      </c>
      <c r="F39" s="147" t="s">
        <v>65</v>
      </c>
      <c r="G39" s="148" t="s">
        <v>146</v>
      </c>
      <c r="I39" s="182"/>
      <c r="J39" s="195"/>
      <c r="K39" s="180" t="s">
        <v>152</v>
      </c>
      <c r="L39" s="197">
        <v>3000</v>
      </c>
      <c r="M39" s="216" t="s">
        <v>153</v>
      </c>
    </row>
    <row r="40" ht="31" spans="3:13">
      <c r="C40" s="133"/>
      <c r="D40" s="134" t="s">
        <v>154</v>
      </c>
      <c r="E40" s="149">
        <v>0.394</v>
      </c>
      <c r="F40" s="150" t="s">
        <v>72</v>
      </c>
      <c r="G40" s="148" t="s">
        <v>146</v>
      </c>
      <c r="I40" s="182"/>
      <c r="J40" s="195"/>
      <c r="K40" s="180" t="s">
        <v>155</v>
      </c>
      <c r="L40" s="198">
        <v>50000</v>
      </c>
      <c r="M40" s="216" t="s">
        <v>74</v>
      </c>
    </row>
    <row r="41" ht="31" spans="3:13">
      <c r="C41" s="135"/>
      <c r="D41" s="136" t="s">
        <v>156</v>
      </c>
      <c r="E41" s="151">
        <v>0.1</v>
      </c>
      <c r="F41" s="152" t="s">
        <v>65</v>
      </c>
      <c r="G41" s="136" t="s">
        <v>74</v>
      </c>
      <c r="I41" s="182"/>
      <c r="J41" s="184" t="s">
        <v>157</v>
      </c>
      <c r="K41" s="185" t="s">
        <v>158</v>
      </c>
      <c r="L41" s="199">
        <v>0</v>
      </c>
      <c r="M41" s="217" t="s">
        <v>150</v>
      </c>
    </row>
    <row r="42" ht="31" spans="3:13">
      <c r="C42" s="137" t="s">
        <v>159</v>
      </c>
      <c r="D42" s="138" t="s">
        <v>160</v>
      </c>
      <c r="E42" s="164">
        <f>115+104+109+742</f>
        <v>1070</v>
      </c>
      <c r="F42" s="155" t="s">
        <v>65</v>
      </c>
      <c r="G42" s="165" t="s">
        <v>161</v>
      </c>
      <c r="I42" s="182"/>
      <c r="J42" s="184"/>
      <c r="K42" s="185" t="s">
        <v>162</v>
      </c>
      <c r="L42" s="200">
        <v>500</v>
      </c>
      <c r="M42" s="217" t="s">
        <v>74</v>
      </c>
    </row>
    <row r="43" ht="46" spans="3:13">
      <c r="C43" s="139"/>
      <c r="D43" s="140" t="s">
        <v>163</v>
      </c>
      <c r="E43" s="166">
        <v>0.156</v>
      </c>
      <c r="F43" s="147" t="s">
        <v>65</v>
      </c>
      <c r="G43" s="158" t="s">
        <v>164</v>
      </c>
      <c r="I43" s="182"/>
      <c r="J43" s="184"/>
      <c r="K43" s="185" t="s">
        <v>165</v>
      </c>
      <c r="L43" s="201">
        <v>50000</v>
      </c>
      <c r="M43" s="217" t="s">
        <v>74</v>
      </c>
    </row>
    <row r="44" ht="31" spans="3:13">
      <c r="C44" s="139"/>
      <c r="D44" s="140" t="s">
        <v>166</v>
      </c>
      <c r="E44" s="159">
        <f>(E42/E43)*(1-E43)</f>
        <v>5788.97435897436</v>
      </c>
      <c r="F44" s="147" t="s">
        <v>65</v>
      </c>
      <c r="G44" s="140" t="s">
        <v>140</v>
      </c>
      <c r="I44" s="182"/>
      <c r="J44" s="195" t="s">
        <v>167</v>
      </c>
      <c r="K44" s="180" t="s">
        <v>168</v>
      </c>
      <c r="L44" s="196">
        <v>0</v>
      </c>
      <c r="M44" s="216" t="s">
        <v>150</v>
      </c>
    </row>
    <row r="45" ht="31" spans="3:13">
      <c r="C45" s="141"/>
      <c r="D45" s="142" t="s">
        <v>169</v>
      </c>
      <c r="E45" s="167">
        <f>E42+E44</f>
        <v>6858.97435897436</v>
      </c>
      <c r="F45" s="152" t="s">
        <v>65</v>
      </c>
      <c r="G45" s="142" t="s">
        <v>140</v>
      </c>
      <c r="I45" s="182"/>
      <c r="J45" s="195"/>
      <c r="K45" s="180" t="s">
        <v>170</v>
      </c>
      <c r="L45" s="197">
        <v>500</v>
      </c>
      <c r="M45" s="216" t="s">
        <v>74</v>
      </c>
    </row>
    <row r="46" spans="3:13">
      <c r="C46" s="143" t="s">
        <v>171</v>
      </c>
      <c r="D46" s="144" t="s">
        <v>172</v>
      </c>
      <c r="E46" s="162">
        <v>2500000000</v>
      </c>
      <c r="F46" s="168" t="s">
        <v>72</v>
      </c>
      <c r="G46" s="163" t="s">
        <v>173</v>
      </c>
      <c r="I46" s="182"/>
      <c r="J46" s="195"/>
      <c r="K46" s="180" t="s">
        <v>174</v>
      </c>
      <c r="L46" s="198">
        <v>100000</v>
      </c>
      <c r="M46" s="220" t="s">
        <v>74</v>
      </c>
    </row>
    <row r="47" ht="31" spans="3:13">
      <c r="C47" s="135"/>
      <c r="D47" s="136" t="s">
        <v>175</v>
      </c>
      <c r="E47" s="169">
        <v>0.088</v>
      </c>
      <c r="F47" s="161" t="s">
        <v>72</v>
      </c>
      <c r="G47" s="153" t="s">
        <v>173</v>
      </c>
      <c r="I47" s="182"/>
      <c r="J47" s="184" t="s">
        <v>176</v>
      </c>
      <c r="K47" s="185" t="s">
        <v>177</v>
      </c>
      <c r="L47" s="199">
        <v>0</v>
      </c>
      <c r="M47" s="218" t="s">
        <v>150</v>
      </c>
    </row>
    <row r="48" ht="31" spans="9:13">
      <c r="I48" s="182"/>
      <c r="J48" s="184"/>
      <c r="K48" s="185" t="s">
        <v>178</v>
      </c>
      <c r="L48" s="186">
        <v>50</v>
      </c>
      <c r="M48" s="218" t="s">
        <v>74</v>
      </c>
    </row>
    <row r="49" ht="31" spans="9:13">
      <c r="I49" s="182"/>
      <c r="J49" s="184"/>
      <c r="K49" s="185" t="s">
        <v>179</v>
      </c>
      <c r="L49" s="190">
        <v>10000</v>
      </c>
      <c r="M49" s="217" t="s">
        <v>74</v>
      </c>
    </row>
    <row r="50" ht="31" spans="9:13">
      <c r="I50" s="182"/>
      <c r="J50" s="195" t="s">
        <v>180</v>
      </c>
      <c r="K50" s="180" t="s">
        <v>181</v>
      </c>
      <c r="L50" s="202">
        <v>0</v>
      </c>
      <c r="M50" s="216" t="s">
        <v>150</v>
      </c>
    </row>
    <row r="51" ht="31" spans="9:13">
      <c r="I51" s="182"/>
      <c r="J51" s="195"/>
      <c r="K51" s="180" t="s">
        <v>182</v>
      </c>
      <c r="L51" s="203">
        <v>10</v>
      </c>
      <c r="M51" s="216" t="s">
        <v>74</v>
      </c>
    </row>
    <row r="52" spans="9:13">
      <c r="I52" s="204"/>
      <c r="J52" s="205"/>
      <c r="K52" s="206" t="s">
        <v>183</v>
      </c>
      <c r="L52" s="207">
        <v>30000</v>
      </c>
      <c r="M52" s="221" t="s">
        <v>74</v>
      </c>
    </row>
    <row r="53" ht="17" spans="9:13">
      <c r="I53" s="208" t="s">
        <v>184</v>
      </c>
      <c r="J53" s="209" t="s">
        <v>185</v>
      </c>
      <c r="K53" s="210" t="s">
        <v>186</v>
      </c>
      <c r="L53" s="211">
        <v>0.2</v>
      </c>
      <c r="M53" s="222" t="s">
        <v>74</v>
      </c>
    </row>
    <row r="54" ht="17" spans="9:13">
      <c r="I54" s="212"/>
      <c r="J54" s="184"/>
      <c r="K54" s="185" t="s">
        <v>187</v>
      </c>
      <c r="L54" s="213">
        <v>0.15</v>
      </c>
      <c r="M54" s="223" t="s">
        <v>74</v>
      </c>
    </row>
    <row r="55" ht="17" spans="9:13">
      <c r="I55" s="212"/>
      <c r="J55" s="184"/>
      <c r="K55" s="185" t="s">
        <v>188</v>
      </c>
      <c r="L55" s="213">
        <v>0.05</v>
      </c>
      <c r="M55" s="223" t="s">
        <v>74</v>
      </c>
    </row>
    <row r="56" ht="17" spans="9:13">
      <c r="I56" s="212"/>
      <c r="J56" s="184"/>
      <c r="K56" s="185" t="s">
        <v>189</v>
      </c>
      <c r="L56" s="213">
        <v>0.15</v>
      </c>
      <c r="M56" s="223" t="s">
        <v>74</v>
      </c>
    </row>
    <row r="57" ht="17" spans="9:13">
      <c r="I57" s="212"/>
      <c r="J57" s="195" t="s">
        <v>190</v>
      </c>
      <c r="K57" s="180" t="s">
        <v>191</v>
      </c>
      <c r="L57" s="203">
        <v>3</v>
      </c>
      <c r="M57" s="14" t="s">
        <v>74</v>
      </c>
    </row>
    <row r="58" ht="17" spans="9:13">
      <c r="I58" s="212"/>
      <c r="J58" s="195"/>
      <c r="K58" s="180" t="s">
        <v>192</v>
      </c>
      <c r="L58" s="203">
        <v>6</v>
      </c>
      <c r="M58" s="14" t="s">
        <v>74</v>
      </c>
    </row>
    <row r="59" ht="17" spans="9:13">
      <c r="I59" s="212"/>
      <c r="J59" s="195"/>
      <c r="K59" s="180" t="s">
        <v>193</v>
      </c>
      <c r="L59" s="203">
        <v>2</v>
      </c>
      <c r="M59" s="14" t="s">
        <v>74</v>
      </c>
    </row>
    <row r="60" ht="17" spans="9:13">
      <c r="I60" s="212"/>
      <c r="J60" s="195"/>
      <c r="K60" s="180" t="s">
        <v>194</v>
      </c>
      <c r="L60" s="203">
        <v>1</v>
      </c>
      <c r="M60" s="14" t="s">
        <v>74</v>
      </c>
    </row>
    <row r="61" ht="17" spans="9:13">
      <c r="I61" s="212"/>
      <c r="J61" s="195"/>
      <c r="K61" s="180" t="s">
        <v>195</v>
      </c>
      <c r="L61" s="203">
        <v>1</v>
      </c>
      <c r="M61" s="14" t="s">
        <v>74</v>
      </c>
    </row>
    <row r="62" ht="17" spans="9:13">
      <c r="I62" s="212"/>
      <c r="J62" s="195"/>
      <c r="K62" s="180" t="s">
        <v>196</v>
      </c>
      <c r="L62" s="203">
        <v>1</v>
      </c>
      <c r="M62" s="14" t="s">
        <v>74</v>
      </c>
    </row>
    <row r="63" ht="31" spans="9:13">
      <c r="I63" s="212"/>
      <c r="J63" s="195"/>
      <c r="K63" s="180" t="s">
        <v>197</v>
      </c>
      <c r="L63" s="203">
        <v>3</v>
      </c>
      <c r="M63" s="14" t="s">
        <v>74</v>
      </c>
    </row>
    <row r="64" ht="17" spans="9:13">
      <c r="I64" s="212"/>
      <c r="J64" s="195"/>
      <c r="K64" s="180" t="s">
        <v>198</v>
      </c>
      <c r="L64" s="203">
        <v>6</v>
      </c>
      <c r="M64" s="14" t="s">
        <v>74</v>
      </c>
    </row>
    <row r="65" ht="17" spans="9:13">
      <c r="I65" s="212"/>
      <c r="J65" s="195"/>
      <c r="K65" s="180" t="s">
        <v>199</v>
      </c>
      <c r="L65" s="224">
        <v>130000</v>
      </c>
      <c r="M65" s="14" t="s">
        <v>74</v>
      </c>
    </row>
    <row r="66" ht="17" spans="9:13">
      <c r="I66" s="212"/>
      <c r="J66" s="195"/>
      <c r="K66" s="180" t="s">
        <v>200</v>
      </c>
      <c r="L66" s="224">
        <v>140000</v>
      </c>
      <c r="M66" s="14" t="s">
        <v>74</v>
      </c>
    </row>
    <row r="67" ht="17" spans="9:13">
      <c r="I67" s="212"/>
      <c r="J67" s="195"/>
      <c r="K67" s="180" t="s">
        <v>201</v>
      </c>
      <c r="L67" s="224">
        <v>150000</v>
      </c>
      <c r="M67" s="14" t="s">
        <v>74</v>
      </c>
    </row>
    <row r="68" ht="17" spans="9:13">
      <c r="I68" s="212"/>
      <c r="J68" s="195"/>
      <c r="K68" s="180" t="s">
        <v>202</v>
      </c>
      <c r="L68" s="224">
        <v>140000</v>
      </c>
      <c r="M68" s="14" t="s">
        <v>74</v>
      </c>
    </row>
    <row r="69" ht="17" spans="9:13">
      <c r="I69" s="212"/>
      <c r="J69" s="195"/>
      <c r="K69" s="180" t="s">
        <v>203</v>
      </c>
      <c r="L69" s="224">
        <v>140000</v>
      </c>
      <c r="M69" s="14" t="s">
        <v>74</v>
      </c>
    </row>
    <row r="70" ht="17" spans="9:13">
      <c r="I70" s="212"/>
      <c r="J70" s="195"/>
      <c r="K70" s="180" t="s">
        <v>204</v>
      </c>
      <c r="L70" s="224">
        <v>170000</v>
      </c>
      <c r="M70" s="14" t="s">
        <v>74</v>
      </c>
    </row>
    <row r="71" ht="17" spans="9:13">
      <c r="I71" s="212"/>
      <c r="J71" s="195"/>
      <c r="K71" s="180" t="s">
        <v>205</v>
      </c>
      <c r="L71" s="224">
        <v>90000</v>
      </c>
      <c r="M71" s="14" t="s">
        <v>74</v>
      </c>
    </row>
    <row r="72" ht="17" spans="9:13">
      <c r="I72" s="212"/>
      <c r="J72" s="195"/>
      <c r="K72" s="180" t="s">
        <v>206</v>
      </c>
      <c r="L72" s="224">
        <v>100000</v>
      </c>
      <c r="M72" s="14" t="s">
        <v>207</v>
      </c>
    </row>
    <row r="73" ht="17" spans="9:13">
      <c r="I73" s="212"/>
      <c r="J73" s="195"/>
      <c r="K73" s="180" t="s">
        <v>208</v>
      </c>
      <c r="L73" s="224">
        <v>25000</v>
      </c>
      <c r="M73" s="14" t="s">
        <v>74</v>
      </c>
    </row>
    <row r="74" ht="17" spans="9:13">
      <c r="I74" s="212"/>
      <c r="J74" s="195"/>
      <c r="K74" s="180" t="s">
        <v>209</v>
      </c>
      <c r="L74" s="224">
        <v>50000</v>
      </c>
      <c r="M74" s="14" t="s">
        <v>74</v>
      </c>
    </row>
    <row r="75" ht="17" spans="9:13">
      <c r="I75" s="212"/>
      <c r="J75" s="195"/>
      <c r="K75" s="180" t="s">
        <v>210</v>
      </c>
      <c r="L75" s="224">
        <v>100000</v>
      </c>
      <c r="M75" s="14" t="s">
        <v>74</v>
      </c>
    </row>
    <row r="76" ht="17" spans="9:13">
      <c r="I76" s="212"/>
      <c r="J76" s="184" t="s">
        <v>211</v>
      </c>
      <c r="K76" s="185" t="s">
        <v>212</v>
      </c>
      <c r="L76" s="186">
        <v>5</v>
      </c>
      <c r="M76" s="223" t="s">
        <v>74</v>
      </c>
    </row>
    <row r="77" ht="17" spans="9:13">
      <c r="I77" s="212"/>
      <c r="J77" s="184"/>
      <c r="K77" s="185" t="s">
        <v>213</v>
      </c>
      <c r="L77" s="225">
        <f>AVERAGE(L65:L69)</f>
        <v>140000</v>
      </c>
      <c r="M77" s="223" t="s">
        <v>214</v>
      </c>
    </row>
    <row r="78" ht="17" spans="9:13">
      <c r="I78" s="212"/>
      <c r="J78" s="184"/>
      <c r="K78" s="185" t="s">
        <v>215</v>
      </c>
      <c r="L78" s="213">
        <v>0.05</v>
      </c>
      <c r="M78" s="223" t="s">
        <v>74</v>
      </c>
    </row>
    <row r="79" ht="17" spans="9:13">
      <c r="I79" s="212"/>
      <c r="J79" s="184"/>
      <c r="K79" s="185" t="s">
        <v>216</v>
      </c>
      <c r="L79" s="186">
        <v>10</v>
      </c>
      <c r="M79" s="223" t="s">
        <v>217</v>
      </c>
    </row>
    <row r="80" ht="17" spans="9:13">
      <c r="I80" s="212"/>
      <c r="J80" s="184"/>
      <c r="K80" s="185" t="s">
        <v>218</v>
      </c>
      <c r="L80" s="226">
        <v>120000</v>
      </c>
      <c r="M80" s="223" t="s">
        <v>74</v>
      </c>
    </row>
    <row r="81" ht="17" spans="9:13">
      <c r="I81" s="212"/>
      <c r="J81" s="184"/>
      <c r="K81" s="185" t="s">
        <v>219</v>
      </c>
      <c r="L81" s="213">
        <v>0.1</v>
      </c>
      <c r="M81" s="223" t="s">
        <v>74</v>
      </c>
    </row>
    <row r="82" ht="31" spans="9:13">
      <c r="I82" s="212"/>
      <c r="J82" s="184"/>
      <c r="K82" s="185" t="s">
        <v>220</v>
      </c>
      <c r="L82" s="226">
        <v>120000</v>
      </c>
      <c r="M82" s="223" t="s">
        <v>74</v>
      </c>
    </row>
    <row r="83" ht="17" spans="9:13">
      <c r="I83" s="212"/>
      <c r="J83" s="184"/>
      <c r="K83" s="185" t="s">
        <v>221</v>
      </c>
      <c r="L83" s="213">
        <v>0.08</v>
      </c>
      <c r="M83" s="223" t="s">
        <v>74</v>
      </c>
    </row>
    <row r="84" ht="17" spans="9:13">
      <c r="I84" s="212"/>
      <c r="J84" s="184"/>
      <c r="K84" s="185" t="s">
        <v>222</v>
      </c>
      <c r="L84" s="225">
        <v>25000</v>
      </c>
      <c r="M84" s="223" t="s">
        <v>74</v>
      </c>
    </row>
    <row r="85" ht="17" spans="9:13">
      <c r="I85" s="212"/>
      <c r="J85" s="184"/>
      <c r="K85" s="185" t="s">
        <v>223</v>
      </c>
      <c r="L85" s="213">
        <v>0.15</v>
      </c>
      <c r="M85" s="223" t="s">
        <v>74</v>
      </c>
    </row>
    <row r="86" ht="17" spans="9:13">
      <c r="I86" s="212"/>
      <c r="J86" s="195" t="s">
        <v>224</v>
      </c>
      <c r="K86" s="180" t="s">
        <v>212</v>
      </c>
      <c r="L86" s="203">
        <v>20</v>
      </c>
      <c r="M86" s="14" t="s">
        <v>74</v>
      </c>
    </row>
    <row r="87" ht="17" spans="9:13">
      <c r="I87" s="212"/>
      <c r="J87" s="195"/>
      <c r="K87" s="180" t="s">
        <v>213</v>
      </c>
      <c r="L87" s="227">
        <f>L77</f>
        <v>140000</v>
      </c>
      <c r="M87" s="14" t="s">
        <v>214</v>
      </c>
    </row>
    <row r="88" ht="17" spans="9:13">
      <c r="I88" s="228"/>
      <c r="J88" s="205"/>
      <c r="K88" s="206" t="s">
        <v>225</v>
      </c>
      <c r="L88" s="229">
        <v>500000</v>
      </c>
      <c r="M88" s="230" t="s">
        <v>74</v>
      </c>
    </row>
    <row r="89" spans="11:12">
      <c r="K89" s="180"/>
      <c r="L89" s="227"/>
    </row>
  </sheetData>
  <mergeCells count="22">
    <mergeCell ref="D2:H2"/>
    <mergeCell ref="D3:H3"/>
    <mergeCell ref="D4:H4"/>
    <mergeCell ref="D5:H5"/>
    <mergeCell ref="C12:C20"/>
    <mergeCell ref="C21:C36"/>
    <mergeCell ref="C37:C41"/>
    <mergeCell ref="C42:C45"/>
    <mergeCell ref="C46:C47"/>
    <mergeCell ref="I12:I52"/>
    <mergeCell ref="I53:I88"/>
    <mergeCell ref="J12:J17"/>
    <mergeCell ref="J18:J37"/>
    <mergeCell ref="J38:J40"/>
    <mergeCell ref="J41:J43"/>
    <mergeCell ref="J44:J46"/>
    <mergeCell ref="J47:J49"/>
    <mergeCell ref="J50:J52"/>
    <mergeCell ref="J53:J56"/>
    <mergeCell ref="J57:J75"/>
    <mergeCell ref="J76:J85"/>
    <mergeCell ref="J86:J88"/>
  </mergeCells>
  <hyperlinks>
    <hyperlink ref="G12" r:id="rId4" display="https://marketintelo.com/report/academic-publishing-market"/>
    <hyperlink ref="G13" r:id="rId4" display="https://marketintelo.com/report/academic-publishing-market"/>
    <hyperlink ref="G15" r:id="rId5" display="https://www.linkedin.com/pulse/hidden-fortune-academic-publishers-closer-look-industrys-kannan-cmxac/"/>
    <hyperlink ref="G17" r:id="rId6" display="https://firstmonday.org/ojs/index.php/fm/article/view/4370/3685"/>
    <hyperlink ref="G18" r:id="rId6" display="https://firstmonday.org/ojs/index.php/fm/article/view/4370/3685"/>
    <hyperlink ref="G19" r:id="rId6" display="https://firstmonday.org/ojs/index.php/fm/article/view/4370/3685"/>
    <hyperlink ref="G20" r:id="rId6" display="https://firstmonday.org/ojs/index.php/fm/article/view/4370/3685"/>
    <hyperlink ref="G31" r:id="rId7" display="https://carnegieclassifications.acenet.edu/institutions/?inst=&amp;research2025%5B%5D=1"/>
    <hyperlink ref="G32" r:id="rId8" display="https://carnegieclassifications.acenet.edu/institutions/?inst=&amp;research2025%5B%5D=2"/>
    <hyperlink ref="G33" r:id="rId9" location=":~:text=Every%20three%20years%2C%20Indiana%20University's%20Center%20on,doesn't%20hesitate%20to%20share%20their%20opinions%20about" display="https://robertkelchen.com/2021/12/16/how-colleges-carnegie-classifications-have-changed-over-time-2/#:~:text=Every%20three%20years%2C%20Indiana%20University's%20Center%20on,doesn't%20hesitate%20to%20share%20their%20opinions%20about"/>
    <hyperlink ref="G37" r:id="rId10" display="https://www.grandviewresearch.com/industry-analysis/ai-datasets-licensing-academic-research-publishing-market-report"/>
    <hyperlink ref="G38" r:id="rId10" display="https://www.grandviewresearch.com/industry-analysis/ai-datasets-licensing-academic-research-publishing-market-report"/>
    <hyperlink ref="G39" r:id="rId10" display="https://www.grandviewresearch.com/industry-analysis/ai-datasets-licensing-academic-research-publishing-market-report"/>
    <hyperlink ref="G40" r:id="rId10" display="https://www.grandviewresearch.com/industry-analysis/ai-datasets-licensing-academic-research-publishing-market-report"/>
    <hyperlink ref="G42" r:id="rId11" display="https://nces.ed.gov/programs/digest/d18/tables/dt18_317.40.asp"/>
    <hyperlink ref="G43" r:id="rId12" location=":~:text=Figure%206.1%2D1:%20World%20share%20of%20scientific%20publications(1)%2C,(2)BRIS:%20Brazil%2C%20Russia%2C%20India%20and%20South%20Africa." display="https://research-and-innovation.ec.europa.eu/system/files/2022-07/ec_rtd_srip-2022-report-chapter-6.pdf#:~:text=Figure%206.1%2D1:%20World%20share%20of%20scientific%20publications(1)%2C,(2)BRIS:%20Brazil%2C%20Russia%2C%20India%20and%20South%20Africa."/>
    <hyperlink ref="G46" r:id="rId13" display="https://www.globalinsightservices.com/reports/academic-software-market/"/>
    <hyperlink ref="G47" r:id="rId13" display="https://www.globalinsightservices.com/reports/academic-software-market/"/>
    <hyperlink ref="G16" r:id="rId6" display="https://firstmonday.org/ojs/index.php/fm/article/view/4370/3685"/>
  </hyperlinks>
  <pageMargins left="0.7" right="0.7" top="0.75" bottom="0.75" header="0.3" footer="0.3"/>
  <pageSetup paperSize="1"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70299"/>
  </sheetPr>
  <dimension ref="A1:S17"/>
  <sheetViews>
    <sheetView showGridLines="0" zoomScale="83" zoomScaleNormal="83" workbookViewId="0">
      <selection activeCell="J18" sqref="J18"/>
    </sheetView>
  </sheetViews>
  <sheetFormatPr defaultColWidth="8.66071428571429" defaultRowHeight="16.8"/>
  <cols>
    <col min="1" max="1" width="4.5" style="4" customWidth="1"/>
    <col min="2" max="2" width="4.33035714285714" style="4" customWidth="1"/>
    <col min="3" max="3" width="36.1607142857143" style="4" customWidth="1"/>
    <col min="4" max="4" width="26.1607142857143" style="4" customWidth="1"/>
    <col min="5" max="6" width="18.5" style="4" customWidth="1"/>
    <col min="7" max="7" width="18.5" style="5" customWidth="1"/>
    <col min="8" max="8" width="15.1607142857143" style="4" customWidth="1"/>
    <col min="9" max="13" width="16.3303571428571" style="4" customWidth="1"/>
    <col min="14" max="14" width="13.5" style="4" customWidth="1"/>
    <col min="15" max="16384" width="8.66071428571429" style="4"/>
  </cols>
  <sheetData>
    <row r="1" ht="10.5" customHeight="1"/>
    <row r="2" ht="38.5" customHeight="1" spans="2:8">
      <c r="B2" s="6"/>
      <c r="C2" s="6"/>
      <c r="D2" s="8" t="s">
        <v>10</v>
      </c>
      <c r="E2" s="8"/>
      <c r="F2" s="8"/>
      <c r="G2" s="8"/>
      <c r="H2" s="8"/>
    </row>
    <row r="3" ht="16" customHeight="1" spans="4:8">
      <c r="D3" s="9"/>
      <c r="E3" s="9"/>
      <c r="F3" s="9"/>
      <c r="G3" s="9"/>
      <c r="H3" s="9"/>
    </row>
    <row r="4" ht="23.5" customHeight="1" spans="4:8">
      <c r="D4" s="9" t="s">
        <v>226</v>
      </c>
      <c r="E4" s="9"/>
      <c r="F4" s="9"/>
      <c r="G4" s="9"/>
      <c r="H4" s="9"/>
    </row>
    <row r="5" ht="21.5" customHeight="1" spans="4:8">
      <c r="D5" s="9"/>
      <c r="E5" s="9"/>
      <c r="F5" s="9"/>
      <c r="G5" s="9"/>
      <c r="H5" s="9"/>
    </row>
    <row r="6" ht="17.55" spans="1:19">
      <c r="A6" s="11"/>
      <c r="B6" s="11"/>
      <c r="C6" s="11"/>
      <c r="D6" s="11"/>
      <c r="E6" s="11"/>
      <c r="F6" s="11"/>
      <c r="G6" s="12"/>
      <c r="H6" s="11"/>
      <c r="I6" s="11"/>
      <c r="J6" s="11"/>
      <c r="K6" s="11"/>
      <c r="L6" s="11"/>
      <c r="M6" s="11"/>
      <c r="N6" s="11"/>
      <c r="O6" s="11"/>
      <c r="P6" s="11"/>
      <c r="Q6" s="11"/>
      <c r="R6" s="11"/>
      <c r="S6" s="11"/>
    </row>
    <row r="9" ht="23.2" spans="3:9">
      <c r="C9" s="82" t="s">
        <v>10</v>
      </c>
      <c r="I9" s="40"/>
    </row>
    <row r="11" ht="28" customHeight="1" spans="3:13">
      <c r="C11" s="83" t="s">
        <v>227</v>
      </c>
      <c r="D11" s="20" t="s">
        <v>228</v>
      </c>
      <c r="E11" s="20" t="s">
        <v>229</v>
      </c>
      <c r="F11" s="20" t="s">
        <v>230</v>
      </c>
      <c r="G11" s="20" t="s">
        <v>231</v>
      </c>
      <c r="H11" s="52"/>
      <c r="I11" s="52"/>
      <c r="J11" s="52"/>
      <c r="K11" s="52"/>
      <c r="L11" s="52"/>
      <c r="M11" s="52"/>
    </row>
    <row r="12" s="3" customFormat="1" ht="54" customHeight="1" spans="3:13">
      <c r="C12" s="120" t="s">
        <v>63</v>
      </c>
      <c r="D12" s="121">
        <f>'2. Control Panel'!E13</f>
        <v>0.046</v>
      </c>
      <c r="E12" s="49">
        <f>'3.1 Market Sizing Breakdown'!E16</f>
        <v>25600000000</v>
      </c>
      <c r="F12" s="49">
        <f>'3.1 Market Sizing Breakdown'!E17</f>
        <v>24832000000</v>
      </c>
      <c r="G12" s="49">
        <f>'3.1 Market Sizing Breakdown'!E18</f>
        <v>7449600000</v>
      </c>
      <c r="H12" s="72"/>
      <c r="I12" s="72"/>
      <c r="J12" s="72"/>
      <c r="K12" s="72"/>
      <c r="L12" s="72"/>
      <c r="M12" s="72"/>
    </row>
    <row r="13" s="3" customFormat="1" ht="54" customHeight="1" spans="3:13">
      <c r="C13" s="120" t="s">
        <v>232</v>
      </c>
      <c r="D13" s="122" t="str">
        <f>'2. Control Panel'!E36</f>
        <v>Unknown</v>
      </c>
      <c r="E13" s="57">
        <f>'3.1 Market Sizing Breakdown'!G25</f>
        <v>12662989.7435897</v>
      </c>
      <c r="F13" s="57">
        <f>'3.1 Market Sizing Breakdown'!G30</f>
        <v>12662989.7435897</v>
      </c>
      <c r="G13" s="57">
        <f>'3.1 Market Sizing Breakdown'!G31</f>
        <v>12662989.7435897</v>
      </c>
      <c r="H13" s="72"/>
      <c r="I13" s="72"/>
      <c r="J13" s="72"/>
      <c r="K13" s="72"/>
      <c r="L13" s="72"/>
      <c r="M13" s="72"/>
    </row>
    <row r="14" s="3" customFormat="1" ht="58" customHeight="1" spans="3:13">
      <c r="C14" s="123" t="s">
        <v>233</v>
      </c>
      <c r="D14" s="124">
        <f>'2. Control Panel'!E38</f>
        <v>0.268</v>
      </c>
      <c r="E14" s="127">
        <f>'3.1 Market Sizing Breakdown'!E38</f>
        <v>381800000</v>
      </c>
      <c r="F14" s="127">
        <f>'3.1 Market Sizing Breakdown'!E39</f>
        <v>123703200</v>
      </c>
      <c r="G14" s="127">
        <f>'3.1 Market Sizing Breakdown'!E40</f>
        <v>12370320</v>
      </c>
      <c r="H14" s="72"/>
      <c r="I14" s="72"/>
      <c r="J14" s="72"/>
      <c r="K14" s="72"/>
      <c r="L14" s="72"/>
      <c r="M14" s="72"/>
    </row>
    <row r="15" s="3" customFormat="1" ht="28" customHeight="1" spans="3:13">
      <c r="C15" s="125" t="s">
        <v>234</v>
      </c>
      <c r="D15" s="70"/>
      <c r="E15" s="128">
        <f>SUM(E12:E14)</f>
        <v>25994462989.7436</v>
      </c>
      <c r="F15" s="128">
        <f t="shared" ref="F15:G15" si="0">SUM(F12:F14)</f>
        <v>24968366189.7436</v>
      </c>
      <c r="G15" s="128">
        <f t="shared" si="0"/>
        <v>7474633309.74359</v>
      </c>
      <c r="H15" s="72"/>
      <c r="I15" s="72"/>
      <c r="J15" s="72"/>
      <c r="K15" s="72"/>
      <c r="L15" s="72"/>
      <c r="M15" s="72"/>
    </row>
    <row r="16" spans="3:7">
      <c r="C16" s="90"/>
      <c r="D16" s="91"/>
      <c r="E16" s="99"/>
      <c r="F16" s="100"/>
      <c r="G16" s="4"/>
    </row>
    <row r="17" spans="3:7">
      <c r="C17" s="126" t="s">
        <v>235</v>
      </c>
      <c r="D17" s="91"/>
      <c r="E17" s="99"/>
      <c r="F17" s="100"/>
      <c r="G17" s="4"/>
    </row>
  </sheetData>
  <mergeCells count="4">
    <mergeCell ref="D2:H2"/>
    <mergeCell ref="D3:H3"/>
    <mergeCell ref="D4:H4"/>
    <mergeCell ref="D5:H5"/>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DCCFF"/>
  </sheetPr>
  <dimension ref="A1:S40"/>
  <sheetViews>
    <sheetView showGridLines="0" zoomScale="61" zoomScaleNormal="61" workbookViewId="0">
      <selection activeCell="G66" sqref="G66"/>
    </sheetView>
  </sheetViews>
  <sheetFormatPr defaultColWidth="8.66071428571429" defaultRowHeight="16.8"/>
  <cols>
    <col min="1" max="1" width="4.5" style="4" customWidth="1"/>
    <col min="2" max="2" width="4.33035714285714" style="4" customWidth="1"/>
    <col min="3" max="3" width="36.1607142857143" style="5" customWidth="1"/>
    <col min="4" max="4" width="62.6607142857143" style="4" customWidth="1"/>
    <col min="5" max="5" width="21.8303571428571" style="4" customWidth="1"/>
    <col min="6" max="6" width="16.8303571428571" style="4" customWidth="1"/>
    <col min="7" max="7" width="16.8303571428571" style="5" customWidth="1"/>
    <col min="8" max="13" width="16.8303571428571" style="4" customWidth="1"/>
    <col min="14" max="14" width="13.5" style="4" customWidth="1"/>
    <col min="15" max="16384" width="8.66071428571429" style="4"/>
  </cols>
  <sheetData>
    <row r="1" ht="10.5" customHeight="1"/>
    <row r="2" ht="38.5" customHeight="1" spans="2:8">
      <c r="B2" s="6"/>
      <c r="C2" s="7"/>
      <c r="D2" s="8" t="s">
        <v>236</v>
      </c>
      <c r="E2" s="8"/>
      <c r="F2" s="8"/>
      <c r="G2" s="8"/>
      <c r="H2" s="8"/>
    </row>
    <row r="3" ht="16" customHeight="1" spans="4:8">
      <c r="D3" s="9"/>
      <c r="E3" s="9"/>
      <c r="F3" s="9"/>
      <c r="G3" s="9"/>
      <c r="H3" s="9"/>
    </row>
    <row r="4" ht="23.5" customHeight="1" spans="4:8">
      <c r="D4" s="105" t="s">
        <v>237</v>
      </c>
      <c r="E4" s="9"/>
      <c r="F4" s="9"/>
      <c r="G4" s="9"/>
      <c r="H4" s="9"/>
    </row>
    <row r="5" ht="21.5" customHeight="1" spans="4:8">
      <c r="D5" s="9" t="s">
        <v>238</v>
      </c>
      <c r="E5" s="9"/>
      <c r="F5" s="9"/>
      <c r="G5" s="9"/>
      <c r="H5" s="9"/>
    </row>
    <row r="6" ht="17.55" spans="1:19">
      <c r="A6" s="11"/>
      <c r="B6" s="11"/>
      <c r="C6" s="12"/>
      <c r="D6" s="11"/>
      <c r="E6" s="11"/>
      <c r="F6" s="11"/>
      <c r="G6" s="12"/>
      <c r="H6" s="11"/>
      <c r="I6" s="11"/>
      <c r="J6" s="11"/>
      <c r="K6" s="11"/>
      <c r="L6" s="11"/>
      <c r="M6" s="11"/>
      <c r="N6" s="11"/>
      <c r="O6" s="11"/>
      <c r="P6" s="11"/>
      <c r="Q6" s="11"/>
      <c r="R6" s="11"/>
      <c r="S6" s="11"/>
    </row>
    <row r="8" ht="24" spans="3:3">
      <c r="C8" s="13" t="s">
        <v>239</v>
      </c>
    </row>
    <row r="9" spans="2:3">
      <c r="B9" s="14">
        <v>1</v>
      </c>
      <c r="C9" s="15" t="s">
        <v>240</v>
      </c>
    </row>
    <row r="10" spans="2:3">
      <c r="B10" s="14">
        <v>2</v>
      </c>
      <c r="C10" s="15" t="s">
        <v>241</v>
      </c>
    </row>
    <row r="11" spans="2:3">
      <c r="B11" s="14">
        <v>3</v>
      </c>
      <c r="C11" s="15" t="s">
        <v>242</v>
      </c>
    </row>
    <row r="12" spans="3:3">
      <c r="C12" s="14"/>
    </row>
    <row r="13" ht="24" spans="3:3">
      <c r="C13" s="13" t="s">
        <v>243</v>
      </c>
    </row>
    <row r="15" ht="28" customHeight="1" spans="3:13">
      <c r="C15" s="19" t="s">
        <v>244</v>
      </c>
      <c r="D15" s="20" t="s">
        <v>245</v>
      </c>
      <c r="E15" s="20" t="s">
        <v>246</v>
      </c>
      <c r="F15" s="52"/>
      <c r="G15" s="52"/>
      <c r="H15" s="52"/>
      <c r="I15" s="52"/>
      <c r="J15" s="52"/>
      <c r="K15" s="52"/>
      <c r="L15" s="52"/>
      <c r="M15" s="52"/>
    </row>
    <row r="16" ht="53" customHeight="1" spans="3:13">
      <c r="C16" s="29" t="s">
        <v>247</v>
      </c>
      <c r="D16" s="106" t="s">
        <v>248</v>
      </c>
      <c r="E16" s="111">
        <f>'2. Control Panel'!E12</f>
        <v>25600000000</v>
      </c>
      <c r="F16" s="22"/>
      <c r="G16" s="22"/>
      <c r="H16" s="22"/>
      <c r="I16" s="22"/>
      <c r="J16" s="22"/>
      <c r="K16" s="22"/>
      <c r="L16" s="22"/>
      <c r="M16" s="22"/>
    </row>
    <row r="17" s="3" customFormat="1" ht="104" customHeight="1" spans="3:13">
      <c r="C17" s="107" t="s">
        <v>249</v>
      </c>
      <c r="D17" s="108" t="s">
        <v>250</v>
      </c>
      <c r="E17" s="112">
        <f>'2. Control Panel'!E12*('2. Control Panel'!E16+'2. Control Panel'!E17+'2. Control Panel'!E18+'2. Control Panel'!E20)</f>
        <v>24832000000</v>
      </c>
      <c r="F17" s="42"/>
      <c r="G17" s="42"/>
      <c r="H17" s="42"/>
      <c r="I17" s="42"/>
      <c r="J17" s="42"/>
      <c r="K17" s="42"/>
      <c r="L17" s="42"/>
      <c r="M17" s="42"/>
    </row>
    <row r="18" s="3" customFormat="1" ht="53" customHeight="1" spans="3:13">
      <c r="C18" s="107" t="s">
        <v>251</v>
      </c>
      <c r="D18" s="109" t="s">
        <v>252</v>
      </c>
      <c r="E18" s="113">
        <f>E17*'2. Control Panel'!E14</f>
        <v>7449600000</v>
      </c>
      <c r="F18" s="22"/>
      <c r="G18" s="22"/>
      <c r="H18" s="22"/>
      <c r="I18" s="22"/>
      <c r="J18" s="22"/>
      <c r="K18" s="22"/>
      <c r="L18" s="22"/>
      <c r="M18" s="22"/>
    </row>
    <row r="19" spans="6:7">
      <c r="F19" s="5"/>
      <c r="G19" s="4"/>
    </row>
    <row r="20" spans="6:7">
      <c r="F20" s="5"/>
      <c r="G20" s="4"/>
    </row>
    <row r="22" ht="24" spans="3:3">
      <c r="C22" s="13" t="s">
        <v>253</v>
      </c>
    </row>
    <row r="24" spans="3:9">
      <c r="C24" s="19" t="s">
        <v>244</v>
      </c>
      <c r="D24" s="20" t="s">
        <v>245</v>
      </c>
      <c r="E24" s="114" t="s">
        <v>254</v>
      </c>
      <c r="F24" s="114" t="s">
        <v>255</v>
      </c>
      <c r="G24" s="20" t="s">
        <v>246</v>
      </c>
      <c r="I24" s="5"/>
    </row>
    <row r="25" ht="29" customHeight="1" spans="3:9">
      <c r="C25" s="25" t="s">
        <v>247</v>
      </c>
      <c r="D25" s="110" t="s">
        <v>256</v>
      </c>
      <c r="E25" s="110" t="s">
        <v>257</v>
      </c>
      <c r="F25" s="115">
        <f>'2. Control Panel'!E21*'2. Control Panel'!E26*'2. Control Panel'!E31</f>
        <v>7106000</v>
      </c>
      <c r="G25" s="116">
        <f>SUM(F25:F29)</f>
        <v>12662989.7435897</v>
      </c>
      <c r="I25" s="5"/>
    </row>
    <row r="26" ht="29" customHeight="1" spans="3:9">
      <c r="C26" s="25"/>
      <c r="D26" s="110"/>
      <c r="E26" s="110" t="s">
        <v>258</v>
      </c>
      <c r="F26" s="115">
        <f>'2. Control Panel'!E22*'2. Control Panel'!E27*'2. Control Panel'!E32</f>
        <v>1779200</v>
      </c>
      <c r="G26" s="116"/>
      <c r="I26" s="5"/>
    </row>
    <row r="27" ht="29" customHeight="1" spans="3:9">
      <c r="C27" s="25"/>
      <c r="D27" s="110"/>
      <c r="E27" s="110" t="s">
        <v>259</v>
      </c>
      <c r="F27" s="115">
        <f>'2. Control Panel'!E23*'2. Control Panel'!E28*'2. Control Panel'!E33</f>
        <v>907200</v>
      </c>
      <c r="G27" s="116"/>
      <c r="I27" s="5"/>
    </row>
    <row r="28" ht="29" customHeight="1" spans="3:9">
      <c r="C28" s="25"/>
      <c r="D28" s="110"/>
      <c r="E28" s="110" t="s">
        <v>260</v>
      </c>
      <c r="F28" s="115">
        <f>'2. Control Panel'!E24*'2. Control Panel'!E29*'2. Control Panel'!E34</f>
        <v>555000</v>
      </c>
      <c r="G28" s="116"/>
      <c r="I28" s="5"/>
    </row>
    <row r="29" ht="29" customHeight="1" spans="3:9">
      <c r="C29" s="29"/>
      <c r="D29" s="106"/>
      <c r="E29" s="106" t="s">
        <v>261</v>
      </c>
      <c r="F29" s="117">
        <f>'2. Control Panel'!E25*'2. Control Panel'!E30*'2. Control Panel'!E35</f>
        <v>2315589.74358974</v>
      </c>
      <c r="G29" s="111"/>
      <c r="I29" s="5"/>
    </row>
    <row r="30" ht="76" customHeight="1" spans="3:9">
      <c r="C30" s="107" t="s">
        <v>249</v>
      </c>
      <c r="D30" s="108" t="s">
        <v>262</v>
      </c>
      <c r="E30" s="118"/>
      <c r="F30" s="118"/>
      <c r="G30" s="112">
        <f>G25</f>
        <v>12662989.7435897</v>
      </c>
      <c r="I30" s="5"/>
    </row>
    <row r="31" ht="76" customHeight="1" spans="3:9">
      <c r="C31" s="107" t="s">
        <v>251</v>
      </c>
      <c r="D31" s="109" t="s">
        <v>263</v>
      </c>
      <c r="E31" s="119"/>
      <c r="F31" s="119"/>
      <c r="G31" s="113">
        <f>G30</f>
        <v>12662989.7435897</v>
      </c>
      <c r="I31" s="5"/>
    </row>
    <row r="35" ht="24" spans="3:3">
      <c r="C35" s="13" t="s">
        <v>264</v>
      </c>
    </row>
    <row r="37" spans="3:5">
      <c r="C37" s="19" t="s">
        <v>244</v>
      </c>
      <c r="D37" s="20" t="s">
        <v>245</v>
      </c>
      <c r="E37" s="20" t="s">
        <v>246</v>
      </c>
    </row>
    <row r="38" ht="59" customHeight="1" spans="3:5">
      <c r="C38" s="29" t="s">
        <v>247</v>
      </c>
      <c r="D38" s="106" t="s">
        <v>265</v>
      </c>
      <c r="E38" s="111">
        <f>'2. Control Panel'!E37</f>
        <v>381800000</v>
      </c>
    </row>
    <row r="39" ht="59" customHeight="1" spans="3:5">
      <c r="C39" s="107" t="s">
        <v>249</v>
      </c>
      <c r="D39" s="108" t="s">
        <v>266</v>
      </c>
      <c r="E39" s="112">
        <f>'2. Control Panel'!E37*'2. Control Panel'!E39</f>
        <v>123703200</v>
      </c>
    </row>
    <row r="40" ht="59" customHeight="1" spans="3:5">
      <c r="C40" s="107" t="s">
        <v>251</v>
      </c>
      <c r="D40" s="109" t="s">
        <v>267</v>
      </c>
      <c r="E40" s="113">
        <f>'2. Control Panel'!E37*'2. Control Panel'!E39*'2. Control Panel'!E41</f>
        <v>12370320</v>
      </c>
    </row>
  </sheetData>
  <mergeCells count="7">
    <mergeCell ref="D2:H2"/>
    <mergeCell ref="D3:H3"/>
    <mergeCell ref="D4:H4"/>
    <mergeCell ref="D5:H5"/>
    <mergeCell ref="C25:C29"/>
    <mergeCell ref="D25:D29"/>
    <mergeCell ref="G25:G29"/>
  </mergeCells>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70299"/>
  </sheetPr>
  <dimension ref="A1:S51"/>
  <sheetViews>
    <sheetView showGridLines="0" tabSelected="1" zoomScale="79" zoomScaleNormal="79" topLeftCell="C29" workbookViewId="0">
      <selection activeCell="G58" sqref="G58"/>
    </sheetView>
  </sheetViews>
  <sheetFormatPr defaultColWidth="8.66071428571429" defaultRowHeight="16.8"/>
  <cols>
    <col min="1" max="1" width="4.5" style="4" customWidth="1"/>
    <col min="2" max="2" width="4.33035714285714" style="4" customWidth="1"/>
    <col min="3" max="3" width="36.1607142857143" style="4" customWidth="1"/>
    <col min="4" max="4" width="21.3303571428571" style="4" customWidth="1"/>
    <col min="5" max="6" width="13.5" style="4" customWidth="1"/>
    <col min="7" max="7" width="16" style="5" customWidth="1"/>
    <col min="8" max="8" width="15.1607142857143" style="4" customWidth="1"/>
    <col min="9" max="13" width="16.3303571428571" style="4" customWidth="1"/>
    <col min="14" max="14" width="21.6607142857143" style="4" customWidth="1"/>
    <col min="15" max="16384" width="8.66071428571429" style="4"/>
  </cols>
  <sheetData>
    <row r="1" ht="10.5" customHeight="1"/>
    <row r="2" ht="38.5" customHeight="1" spans="2:8">
      <c r="B2" s="6"/>
      <c r="C2" s="6"/>
      <c r="D2" s="8" t="s">
        <v>268</v>
      </c>
      <c r="E2" s="8"/>
      <c r="F2" s="8"/>
      <c r="G2" s="8"/>
      <c r="H2" s="8"/>
    </row>
    <row r="3" ht="16" customHeight="1" spans="4:8">
      <c r="D3" s="9"/>
      <c r="E3" s="9"/>
      <c r="F3" s="9"/>
      <c r="G3" s="9"/>
      <c r="H3" s="9"/>
    </row>
    <row r="4" ht="23.5" customHeight="1" spans="4:8">
      <c r="D4" s="9" t="s">
        <v>269</v>
      </c>
      <c r="E4" s="9"/>
      <c r="F4" s="9"/>
      <c r="G4" s="9"/>
      <c r="H4" s="9"/>
    </row>
    <row r="5" ht="21.5" customHeight="1" spans="4:8">
      <c r="D5" s="9" t="s">
        <v>270</v>
      </c>
      <c r="E5" s="9"/>
      <c r="F5" s="9"/>
      <c r="G5" s="9"/>
      <c r="H5" s="9"/>
    </row>
    <row r="6" ht="21.5" customHeight="1" spans="4:8">
      <c r="D6" s="10" t="s">
        <v>271</v>
      </c>
      <c r="E6" s="9"/>
      <c r="F6" s="9"/>
      <c r="G6" s="9"/>
      <c r="H6" s="9"/>
    </row>
    <row r="7" ht="17.55" spans="1:19">
      <c r="A7" s="11"/>
      <c r="B7" s="11"/>
      <c r="C7" s="11"/>
      <c r="D7" s="11"/>
      <c r="E7" s="11"/>
      <c r="F7" s="11"/>
      <c r="G7" s="12"/>
      <c r="H7" s="11"/>
      <c r="I7" s="11"/>
      <c r="J7" s="11"/>
      <c r="K7" s="11"/>
      <c r="L7" s="11"/>
      <c r="M7" s="11"/>
      <c r="N7" s="11"/>
      <c r="O7" s="11"/>
      <c r="P7" s="11"/>
      <c r="Q7" s="11"/>
      <c r="R7" s="11"/>
      <c r="S7" s="11"/>
    </row>
    <row r="9" ht="17.55" spans="4:4">
      <c r="D9" s="79" t="s">
        <v>272</v>
      </c>
    </row>
    <row r="10" ht="39" customHeight="1" spans="3:4">
      <c r="C10" s="80" t="s">
        <v>273</v>
      </c>
      <c r="D10" s="81" t="s">
        <v>38</v>
      </c>
    </row>
    <row r="13" ht="23.2" spans="3:10">
      <c r="C13" s="82" t="s">
        <v>274</v>
      </c>
      <c r="G13" s="4"/>
      <c r="H13" s="5"/>
      <c r="J13" s="40"/>
    </row>
    <row r="14" spans="7:8">
      <c r="G14" s="4"/>
      <c r="H14" s="5"/>
    </row>
    <row r="15" ht="28" customHeight="1" spans="3:14">
      <c r="C15" s="83" t="s">
        <v>275</v>
      </c>
      <c r="D15" s="83" t="s">
        <v>61</v>
      </c>
      <c r="E15" s="20">
        <v>2026</v>
      </c>
      <c r="F15" s="20">
        <v>2027</v>
      </c>
      <c r="G15" s="20">
        <v>2028</v>
      </c>
      <c r="H15" s="20">
        <v>2029</v>
      </c>
      <c r="I15" s="20">
        <v>2030</v>
      </c>
      <c r="J15" s="20">
        <v>2031</v>
      </c>
      <c r="K15" s="20">
        <v>2032</v>
      </c>
      <c r="L15" s="20">
        <v>2033</v>
      </c>
      <c r="M15" s="20">
        <v>2034</v>
      </c>
      <c r="N15" s="20">
        <v>2035</v>
      </c>
    </row>
    <row r="16" s="3" customFormat="1" ht="54" customHeight="1" spans="3:14">
      <c r="C16" s="84" t="s">
        <v>276</v>
      </c>
      <c r="D16" s="25" t="s">
        <v>87</v>
      </c>
      <c r="E16" s="57">
        <f t="array" ref="E16">_xlfn.IFS($D$10="Low",'2. Control Panel'!$L$15*'4.1 Revenue &amp; Cost Breakdown'!D57,'4. Financial Projection Summary'!$D$10="Moderate",'2. Control Panel'!$L$16*'4.1 Revenue &amp; Cost Breakdown'!D57,'4. Financial Projection Summary'!$D$10="High",'2. Control Panel'!$L$17*'4.1 Revenue &amp; Cost Breakdown'!D57)</f>
        <v>0</v>
      </c>
      <c r="F16" s="57">
        <f t="array" ref="F16">_xlfn.IFS($D$10="Low",'2. Control Panel'!$L$15*'4.1 Revenue &amp; Cost Breakdown'!E57,'4. Financial Projection Summary'!$D$10="Moderate",'2. Control Panel'!$L$16*'4.1 Revenue &amp; Cost Breakdown'!E57,'4. Financial Projection Summary'!$D$10="High",'2. Control Panel'!$L$17*'4.1 Revenue &amp; Cost Breakdown'!E57)</f>
        <v>3000000</v>
      </c>
      <c r="G16" s="57">
        <f t="array" ref="G16">_xlfn.IFS($D$10="Low",'2. Control Panel'!$L$15*'4.1 Revenue &amp; Cost Breakdown'!F57,'4. Financial Projection Summary'!$D$10="Moderate",'2. Control Panel'!$L$16*'4.1 Revenue &amp; Cost Breakdown'!F57,'4. Financial Projection Summary'!$D$10="High",'2. Control Panel'!$L$17*'4.1 Revenue &amp; Cost Breakdown'!F57)</f>
        <v>9000000</v>
      </c>
      <c r="H16" s="57">
        <f t="array" ref="H16">_xlfn.IFS($D$10="Low",'2. Control Panel'!$L$15*'4.1 Revenue &amp; Cost Breakdown'!G57,'4. Financial Projection Summary'!$D$10="Moderate",'2. Control Panel'!$L$16*'4.1 Revenue &amp; Cost Breakdown'!G57,'4. Financial Projection Summary'!$D$10="High",'2. Control Panel'!$L$17*'4.1 Revenue &amp; Cost Breakdown'!G57)</f>
        <v>14175000</v>
      </c>
      <c r="I16" s="57">
        <f t="array" ref="I16">_xlfn.IFS($D$10="Low",'2. Control Panel'!$L$15*'4.1 Revenue &amp; Cost Breakdown'!H57,'4. Financial Projection Summary'!$D$10="Moderate",'2. Control Panel'!$L$16*'4.1 Revenue &amp; Cost Breakdown'!H57,'4. Financial Projection Summary'!$D$10="High",'2. Control Panel'!$L$17*'4.1 Revenue &amp; Cost Breakdown'!H57)</f>
        <v>22325625</v>
      </c>
      <c r="J16" s="57">
        <f t="array" ref="J16">_xlfn.IFS($D$10="Low",'2. Control Panel'!$L$15*'4.1 Revenue &amp; Cost Breakdown'!I57,'4. Financial Projection Summary'!$D$10="Moderate",'2. Control Panel'!$L$16*'4.1 Revenue &amp; Cost Breakdown'!I57,'4. Financial Projection Summary'!$D$10="High",'2. Control Panel'!$L$17*'4.1 Revenue &amp; Cost Breakdown'!I57)</f>
        <v>37507050</v>
      </c>
      <c r="K16" s="57">
        <f t="array" ref="K16">_xlfn.IFS($D$10="Low",'2. Control Panel'!$L$15*'4.1 Revenue &amp; Cost Breakdown'!J57,'4. Financial Projection Summary'!$D$10="Moderate",'2. Control Panel'!$L$16*'4.1 Revenue &amp; Cost Breakdown'!J57,'4. Financial Projection Summary'!$D$10="High",'2. Control Panel'!$L$17*'4.1 Revenue &amp; Cost Breakdown'!J57)</f>
        <v>61256652.975</v>
      </c>
      <c r="L16" s="57">
        <f t="array" ref="L16">_xlfn.IFS($D$10="Low",'2. Control Panel'!$L$15*'4.1 Revenue &amp; Cost Breakdown'!K57,'4. Financial Projection Summary'!$D$10="Moderate",'2. Control Panel'!$L$16*'4.1 Revenue &amp; Cost Breakdown'!K57,'4. Financial Projection Summary'!$D$10="High",'2. Control Panel'!$L$17*'4.1 Revenue &amp; Cost Breakdown'!K57)</f>
        <v>97782567.16725</v>
      </c>
      <c r="M16" s="57">
        <f t="array" ref="M16">_xlfn.IFS($D$10="Low",'2. Control Panel'!$L$15*'4.1 Revenue &amp; Cost Breakdown'!L57,'4. Financial Projection Summary'!$D$10="Moderate",'2. Control Panel'!$L$16*'4.1 Revenue &amp; Cost Breakdown'!L57,'4. Financial Projection Summary'!$D$10="High",'2. Control Panel'!$L$17*'4.1 Revenue &amp; Cost Breakdown'!L57)</f>
        <v>144262903.82805</v>
      </c>
      <c r="N16" s="57">
        <f t="array" ref="N16">_xlfn.IFS($D$10="Low",'2. Control Panel'!$L$15*'4.1 Revenue &amp; Cost Breakdown'!M57,'4. Financial Projection Summary'!$D$10="Moderate",'2. Control Panel'!$L$16*'4.1 Revenue &amp; Cost Breakdown'!M57,'4. Financial Projection Summary'!$D$10="High",'2. Control Panel'!$L$17*'4.1 Revenue &amp; Cost Breakdown'!M57)</f>
        <v>212749081.184273</v>
      </c>
    </row>
    <row r="17" s="3" customFormat="1" ht="54" customHeight="1" spans="3:14">
      <c r="C17" s="84"/>
      <c r="D17" s="25" t="s">
        <v>277</v>
      </c>
      <c r="E17" s="57">
        <f t="array" ref="E17">_xlfn.IFS($D$10="Low",'2. Control Panel'!$L$15*'4.1 Revenue &amp; Cost Breakdown'!D67,'4. Financial Projection Summary'!$D$10="Moderate",'2. Control Panel'!$L$16*'4.1 Revenue &amp; Cost Breakdown'!D67,'4. Financial Projection Summary'!$D$10="High",'2. Control Panel'!$L$17*'4.1 Revenue &amp; Cost Breakdown'!D67)</f>
        <v>0</v>
      </c>
      <c r="F17" s="57">
        <f t="array" ref="F17">_xlfn.IFS($D$10="Low",'2. Control Panel'!$L$15*'4.1 Revenue &amp; Cost Breakdown'!E67,'4. Financial Projection Summary'!$D$10="Moderate",'2. Control Panel'!$L$16*'4.1 Revenue &amp; Cost Breakdown'!E67,'4. Financial Projection Summary'!$D$10="High",'2. Control Panel'!$L$17*'4.1 Revenue &amp; Cost Breakdown'!E67)</f>
        <v>0</v>
      </c>
      <c r="G17" s="57">
        <f t="array" ref="G17">_xlfn.IFS($D$10="Low",'2. Control Panel'!$L$15*'4.1 Revenue &amp; Cost Breakdown'!F67,'4. Financial Projection Summary'!$D$10="Moderate",'2. Control Panel'!$L$16*'4.1 Revenue &amp; Cost Breakdown'!F67,'4. Financial Projection Summary'!$D$10="High",'2. Control Panel'!$L$17*'4.1 Revenue &amp; Cost Breakdown'!F67)</f>
        <v>0</v>
      </c>
      <c r="H17" s="57">
        <f t="array" ref="H17">_xlfn.IFS($D$10="Low",'2. Control Panel'!$L$15*'4.1 Revenue &amp; Cost Breakdown'!G67,'4. Financial Projection Summary'!$D$10="Moderate",'2. Control Panel'!$L$16*'4.1 Revenue &amp; Cost Breakdown'!G67,'4. Financial Projection Summary'!$D$10="High",'2. Control Panel'!$L$17*'4.1 Revenue &amp; Cost Breakdown'!G67)</f>
        <v>0</v>
      </c>
      <c r="I17" s="57">
        <f t="array" ref="I17">_xlfn.IFS($D$10="Low",'2. Control Panel'!$L$15*'4.1 Revenue &amp; Cost Breakdown'!H67,'4. Financial Projection Summary'!$D$10="Moderate",'2. Control Panel'!$L$16*'4.1 Revenue &amp; Cost Breakdown'!H67,'4. Financial Projection Summary'!$D$10="High",'2. Control Panel'!$L$17*'4.1 Revenue &amp; Cost Breakdown'!H67)</f>
        <v>0</v>
      </c>
      <c r="J17" s="57">
        <f t="array" ref="J17">_xlfn.IFS($D$10="Low",'2. Control Panel'!$L$15*'4.1 Revenue &amp; Cost Breakdown'!I67,'4. Financial Projection Summary'!$D$10="Moderate",'2. Control Panel'!$L$16*'4.1 Revenue &amp; Cost Breakdown'!I67,'4. Financial Projection Summary'!$D$10="High",'2. Control Panel'!$L$17*'4.1 Revenue &amp; Cost Breakdown'!I67)</f>
        <v>173643750</v>
      </c>
      <c r="K17" s="57">
        <f t="array" ref="K17">_xlfn.IFS($D$10="Low",'2. Control Panel'!$L$15*'4.1 Revenue &amp; Cost Breakdown'!J67,'4. Financial Projection Summary'!$D$10="Moderate",'2. Control Panel'!$L$16*'4.1 Revenue &amp; Cost Breakdown'!J67,'4. Financial Projection Summary'!$D$10="High",'2. Control Panel'!$L$17*'4.1 Revenue &amp; Cost Breakdown'!J67)</f>
        <v>200558531.25</v>
      </c>
      <c r="L17" s="57">
        <f t="array" ref="L17">_xlfn.IFS($D$10="Low",'2. Control Panel'!$L$15*'4.1 Revenue &amp; Cost Breakdown'!K67,'4. Financial Projection Summary'!$D$10="Moderate",'2. Control Panel'!$L$16*'4.1 Revenue &amp; Cost Breakdown'!K67,'4. Financial Projection Summary'!$D$10="High",'2. Control Panel'!$L$17*'4.1 Revenue &amp; Cost Breakdown'!K67)</f>
        <v>231645103.59375</v>
      </c>
      <c r="M17" s="57">
        <f t="array" ref="M17">_xlfn.IFS($D$10="Low",'2. Control Panel'!$L$15*'4.1 Revenue &amp; Cost Breakdown'!L67,'4. Financial Projection Summary'!$D$10="Moderate",'2. Control Panel'!$L$16*'4.1 Revenue &amp; Cost Breakdown'!L67,'4. Financial Projection Summary'!$D$10="High",'2. Control Panel'!$L$17*'4.1 Revenue &amp; Cost Breakdown'!L67)</f>
        <v>267550094.650781</v>
      </c>
      <c r="N17" s="57">
        <f t="array" ref="N17">_xlfn.IFS($D$10="Low",'2. Control Panel'!$L$15*'4.1 Revenue &amp; Cost Breakdown'!M67,'4. Financial Projection Summary'!$D$10="Moderate",'2. Control Panel'!$L$16*'4.1 Revenue &amp; Cost Breakdown'!M67,'4. Financial Projection Summary'!$D$10="High",'2. Control Panel'!$L$17*'4.1 Revenue &amp; Cost Breakdown'!M67)</f>
        <v>309020359.321652</v>
      </c>
    </row>
    <row r="18" s="3" customFormat="1" ht="54" customHeight="1" spans="3:14">
      <c r="C18" s="84"/>
      <c r="D18" s="25" t="s">
        <v>278</v>
      </c>
      <c r="E18" s="57">
        <f t="array" ref="E18">_xlfn.IFS($D$10="Low",'2. Control Panel'!$L$15*'4.1 Revenue &amp; Cost Breakdown'!D77,'4. Financial Projection Summary'!$D$10="Moderate",'2. Control Panel'!$L$16*'4.1 Revenue &amp; Cost Breakdown'!D77,'4. Financial Projection Summary'!$D$10="High",'2. Control Panel'!$L$17*'4.1 Revenue &amp; Cost Breakdown'!D77)</f>
        <v>0</v>
      </c>
      <c r="F18" s="57">
        <f t="array" ref="F18">_xlfn.IFS($D$10="Low",'2. Control Panel'!$L$15*'4.1 Revenue &amp; Cost Breakdown'!E77,'4. Financial Projection Summary'!$D$10="Moderate",'2. Control Panel'!$L$16*'4.1 Revenue &amp; Cost Breakdown'!E77,'4. Financial Projection Summary'!$D$10="High",'2. Control Panel'!$L$17*'4.1 Revenue &amp; Cost Breakdown'!E77)</f>
        <v>0</v>
      </c>
      <c r="G18" s="57">
        <f t="array" ref="G18">_xlfn.IFS($D$10="Low",'2. Control Panel'!$L$15*'4.1 Revenue &amp; Cost Breakdown'!F77,'4. Financial Projection Summary'!$D$10="Moderate",'2. Control Panel'!$L$16*'4.1 Revenue &amp; Cost Breakdown'!F77,'4. Financial Projection Summary'!$D$10="High",'2. Control Panel'!$L$17*'4.1 Revenue &amp; Cost Breakdown'!F77)</f>
        <v>0</v>
      </c>
      <c r="H18" s="57">
        <f t="array" ref="H18">_xlfn.IFS($D$10="Low",'2. Control Panel'!$L$15*'4.1 Revenue &amp; Cost Breakdown'!G77,'4. Financial Projection Summary'!$D$10="Moderate",'2. Control Panel'!$L$16*'4.1 Revenue &amp; Cost Breakdown'!G77,'4. Financial Projection Summary'!$D$10="High",'2. Control Panel'!$L$17*'4.1 Revenue &amp; Cost Breakdown'!G77)</f>
        <v>0</v>
      </c>
      <c r="I18" s="57">
        <f t="array" ref="I18">_xlfn.IFS($D$10="Low",'2. Control Panel'!$L$15*'4.1 Revenue &amp; Cost Breakdown'!H77,'4. Financial Projection Summary'!$D$10="Moderate",'2. Control Panel'!$L$16*'4.1 Revenue &amp; Cost Breakdown'!H77,'4. Financial Projection Summary'!$D$10="High",'2. Control Panel'!$L$17*'4.1 Revenue &amp; Cost Breakdown'!H77)</f>
        <v>0</v>
      </c>
      <c r="J18" s="57">
        <f t="array" ref="J18">_xlfn.IFS($D$10="Low",'2. Control Panel'!$L$15*'4.1 Revenue &amp; Cost Breakdown'!I77,'4. Financial Projection Summary'!$D$10="Moderate",'2. Control Panel'!$L$16*'4.1 Revenue &amp; Cost Breakdown'!I77,'4. Financial Projection Summary'!$D$10="High",'2. Control Panel'!$L$17*'4.1 Revenue &amp; Cost Breakdown'!I77)</f>
        <v>28940625</v>
      </c>
      <c r="K18" s="57">
        <f t="array" ref="K18">_xlfn.IFS($D$10="Low",'2. Control Panel'!$L$15*'4.1 Revenue &amp; Cost Breakdown'!J77,'4. Financial Projection Summary'!$D$10="Moderate",'2. Control Panel'!$L$16*'4.1 Revenue &amp; Cost Breakdown'!J77,'4. Financial Projection Summary'!$D$10="High",'2. Control Panel'!$L$17*'4.1 Revenue &amp; Cost Breakdown'!J77)</f>
        <v>33426421.875</v>
      </c>
      <c r="L18" s="57">
        <f t="array" ref="L18">_xlfn.IFS($D$10="Low",'2. Control Panel'!$L$15*'4.1 Revenue &amp; Cost Breakdown'!K77,'4. Financial Projection Summary'!$D$10="Moderate",'2. Control Panel'!$L$16*'4.1 Revenue &amp; Cost Breakdown'!K77,'4. Financial Projection Summary'!$D$10="High",'2. Control Panel'!$L$17*'4.1 Revenue &amp; Cost Breakdown'!K77)</f>
        <v>38607517.265625</v>
      </c>
      <c r="M18" s="57">
        <f t="array" ref="M18">_xlfn.IFS($D$10="Low",'2. Control Panel'!$L$15*'4.1 Revenue &amp; Cost Breakdown'!L77,'4. Financial Projection Summary'!$D$10="Moderate",'2. Control Panel'!$L$16*'4.1 Revenue &amp; Cost Breakdown'!L77,'4. Financial Projection Summary'!$D$10="High",'2. Control Panel'!$L$17*'4.1 Revenue &amp; Cost Breakdown'!L77)</f>
        <v>44591682.4417969</v>
      </c>
      <c r="N18" s="57">
        <f t="array" ref="N18">_xlfn.IFS($D$10="Low",'2. Control Panel'!$L$15*'4.1 Revenue &amp; Cost Breakdown'!M77,'4. Financial Projection Summary'!$D$10="Moderate",'2. Control Panel'!$L$16*'4.1 Revenue &amp; Cost Breakdown'!M77,'4. Financial Projection Summary'!$D$10="High",'2. Control Panel'!$L$17*'4.1 Revenue &amp; Cost Breakdown'!M77)</f>
        <v>51503393.2202754</v>
      </c>
    </row>
    <row r="19" s="3" customFormat="1" ht="26" customHeight="1" spans="3:14">
      <c r="C19" s="85"/>
      <c r="D19" s="86" t="s">
        <v>279</v>
      </c>
      <c r="E19" s="96">
        <f>SUM(E16:E18)</f>
        <v>0</v>
      </c>
      <c r="F19" s="96">
        <f t="shared" ref="F19:N19" si="0">SUM(F16:F18)</f>
        <v>3000000</v>
      </c>
      <c r="G19" s="96">
        <f t="shared" si="0"/>
        <v>9000000</v>
      </c>
      <c r="H19" s="96">
        <f t="shared" si="0"/>
        <v>14175000</v>
      </c>
      <c r="I19" s="96">
        <f t="shared" si="0"/>
        <v>22325625</v>
      </c>
      <c r="J19" s="96">
        <f t="shared" si="0"/>
        <v>240091425</v>
      </c>
      <c r="K19" s="96">
        <f t="shared" si="0"/>
        <v>295241606.1</v>
      </c>
      <c r="L19" s="96">
        <f t="shared" si="0"/>
        <v>368035188.026625</v>
      </c>
      <c r="M19" s="96">
        <f t="shared" si="0"/>
        <v>456404680.920628</v>
      </c>
      <c r="N19" s="96">
        <f t="shared" si="0"/>
        <v>573272833.7262</v>
      </c>
    </row>
    <row r="20" s="3" customFormat="1" ht="58" customHeight="1" spans="3:14">
      <c r="C20" s="87" t="s">
        <v>280</v>
      </c>
      <c r="D20" s="88" t="s">
        <v>167</v>
      </c>
      <c r="E20" s="97">
        <f t="array" ref="E20">_xlfn.IFS($D$10="Low",'2. Control Panel'!$L$15*'4.1 Revenue &amp; Cost Breakdown'!D87,'4. Financial Projection Summary'!$D$10="Moderate",'2. Control Panel'!$L$16*'4.1 Revenue &amp; Cost Breakdown'!D87,'4. Financial Projection Summary'!$D$10="High",'2. Control Panel'!$L$17*'4.1 Revenue &amp; Cost Breakdown'!D87)</f>
        <v>0</v>
      </c>
      <c r="F20" s="97">
        <f t="array" ref="F20">_xlfn.IFS($D$10="Low",'2. Control Panel'!$L$15*'4.1 Revenue &amp; Cost Breakdown'!E87,'4. Financial Projection Summary'!$D$10="Moderate",'2. Control Panel'!$L$16*'4.1 Revenue &amp; Cost Breakdown'!E87,'4. Financial Projection Summary'!$D$10="High",'2. Control Panel'!$L$17*'4.1 Revenue &amp; Cost Breakdown'!E87)</f>
        <v>0</v>
      </c>
      <c r="G20" s="97">
        <f t="array" ref="G20">_xlfn.IFS($D$10="Low",'2. Control Panel'!$L$15*'4.1 Revenue &amp; Cost Breakdown'!F87,'4. Financial Projection Summary'!$D$10="Moderate",'2. Control Panel'!$L$16*'4.1 Revenue &amp; Cost Breakdown'!F87,'4. Financial Projection Summary'!$D$10="High",'2. Control Panel'!$L$17*'4.1 Revenue &amp; Cost Breakdown'!F87)</f>
        <v>0</v>
      </c>
      <c r="H20" s="97">
        <f t="array" ref="H20">_xlfn.IFS($D$10="Low",'2. Control Panel'!$L$15*'4.1 Revenue &amp; Cost Breakdown'!G87,'4. Financial Projection Summary'!$D$10="Moderate",'2. Control Panel'!$L$16*'4.1 Revenue &amp; Cost Breakdown'!G87,'4. Financial Projection Summary'!$D$10="High",'2. Control Panel'!$L$17*'4.1 Revenue &amp; Cost Breakdown'!G87)</f>
        <v>0</v>
      </c>
      <c r="I20" s="97">
        <f t="array" ref="I20">_xlfn.IFS($D$10="Low",'2. Control Panel'!$L$15*'4.1 Revenue &amp; Cost Breakdown'!H87,'4. Financial Projection Summary'!$D$10="Moderate",'2. Control Panel'!$L$16*'4.1 Revenue &amp; Cost Breakdown'!H87,'4. Financial Projection Summary'!$D$10="High",'2. Control Panel'!$L$17*'4.1 Revenue &amp; Cost Breakdown'!H87)</f>
        <v>0</v>
      </c>
      <c r="J20" s="97">
        <f t="array" ref="J20">_xlfn.IFS($D$10="Low",'2. Control Panel'!$L$15*'4.1 Revenue &amp; Cost Breakdown'!I87,'4. Financial Projection Summary'!$D$10="Moderate",'2. Control Panel'!$L$16*'4.1 Revenue &amp; Cost Breakdown'!I87,'4. Financial Projection Summary'!$D$10="High",'2. Control Panel'!$L$17*'4.1 Revenue &amp; Cost Breakdown'!I87)</f>
        <v>57881250</v>
      </c>
      <c r="K20" s="97">
        <f t="array" ref="K20">_xlfn.IFS($D$10="Low",'2. Control Panel'!$L$15*'4.1 Revenue &amp; Cost Breakdown'!J87,'4. Financial Projection Summary'!$D$10="Moderate",'2. Control Panel'!$L$16*'4.1 Revenue &amp; Cost Breakdown'!J87,'4. Financial Projection Summary'!$D$10="High",'2. Control Panel'!$L$17*'4.1 Revenue &amp; Cost Breakdown'!J87)</f>
        <v>66852843.75</v>
      </c>
      <c r="L20" s="97">
        <f t="array" ref="L20">_xlfn.IFS($D$10="Low",'2. Control Panel'!$L$15*'4.1 Revenue &amp; Cost Breakdown'!K87,'4. Financial Projection Summary'!$D$10="Moderate",'2. Control Panel'!$L$16*'4.1 Revenue &amp; Cost Breakdown'!K87,'4. Financial Projection Summary'!$D$10="High",'2. Control Panel'!$L$17*'4.1 Revenue &amp; Cost Breakdown'!K87)</f>
        <v>77215034.53125</v>
      </c>
      <c r="M20" s="97">
        <f t="array" ref="M20">_xlfn.IFS($D$10="Low",'2. Control Panel'!$L$15*'4.1 Revenue &amp; Cost Breakdown'!L87,'4. Financial Projection Summary'!$D$10="Moderate",'2. Control Panel'!$L$16*'4.1 Revenue &amp; Cost Breakdown'!L87,'4. Financial Projection Summary'!$D$10="High",'2. Control Panel'!$L$17*'4.1 Revenue &amp; Cost Breakdown'!L87)</f>
        <v>89183364.8835938</v>
      </c>
      <c r="N20" s="97">
        <f t="array" ref="N20">_xlfn.IFS($D$10="Low",'2. Control Panel'!$L$15*'4.1 Revenue &amp; Cost Breakdown'!M87,'4. Financial Projection Summary'!$D$10="Moderate",'2. Control Panel'!$L$16*'4.1 Revenue &amp; Cost Breakdown'!M87,'4. Financial Projection Summary'!$D$10="High",'2. Control Panel'!$L$17*'4.1 Revenue &amp; Cost Breakdown'!M87)</f>
        <v>103006786.440551</v>
      </c>
    </row>
    <row r="21" s="3" customFormat="1" ht="58" customHeight="1" spans="3:14">
      <c r="C21" s="84"/>
      <c r="D21" s="25" t="s">
        <v>176</v>
      </c>
      <c r="E21" s="57">
        <f t="array" ref="E21">_xlfn.IFS($D$10="Low",'2. Control Panel'!$L$15*'4.1 Revenue &amp; Cost Breakdown'!D97,'4. Financial Projection Summary'!$D$10="Moderate",'2. Control Panel'!$L$16*'4.1 Revenue &amp; Cost Breakdown'!D97,'4. Financial Projection Summary'!$D$10="High",'2. Control Panel'!$L$17*'4.1 Revenue &amp; Cost Breakdown'!D97)</f>
        <v>0</v>
      </c>
      <c r="F21" s="57">
        <f t="array" ref="F21">_xlfn.IFS($D$10="Low",'2. Control Panel'!$L$15*'4.1 Revenue &amp; Cost Breakdown'!E97,'4. Financial Projection Summary'!$D$10="Moderate",'2. Control Panel'!$L$16*'4.1 Revenue &amp; Cost Breakdown'!E97,'4. Financial Projection Summary'!$D$10="High",'2. Control Panel'!$L$17*'4.1 Revenue &amp; Cost Breakdown'!E97)</f>
        <v>0</v>
      </c>
      <c r="G21" s="57">
        <f t="array" ref="G21">_xlfn.IFS($D$10="Low",'2. Control Panel'!$L$15*'4.1 Revenue &amp; Cost Breakdown'!F97,'4. Financial Projection Summary'!$D$10="Moderate",'2. Control Panel'!$L$16*'4.1 Revenue &amp; Cost Breakdown'!F97,'4. Financial Projection Summary'!$D$10="High",'2. Control Panel'!$L$17*'4.1 Revenue &amp; Cost Breakdown'!F97)</f>
        <v>0</v>
      </c>
      <c r="H21" s="57">
        <f t="array" ref="H21">_xlfn.IFS($D$10="Low",'2. Control Panel'!$L$15*'4.1 Revenue &amp; Cost Breakdown'!G97,'4. Financial Projection Summary'!$D$10="Moderate",'2. Control Panel'!$L$16*'4.1 Revenue &amp; Cost Breakdown'!G97,'4. Financial Projection Summary'!$D$10="High",'2. Control Panel'!$L$17*'4.1 Revenue &amp; Cost Breakdown'!G97)</f>
        <v>0</v>
      </c>
      <c r="I21" s="57">
        <f t="array" ref="I21">_xlfn.IFS($D$10="Low",'2. Control Panel'!$L$15*'4.1 Revenue &amp; Cost Breakdown'!H97,'4. Financial Projection Summary'!$D$10="Moderate",'2. Control Panel'!$L$16*'4.1 Revenue &amp; Cost Breakdown'!H97,'4. Financial Projection Summary'!$D$10="High",'2. Control Panel'!$L$17*'4.1 Revenue &amp; Cost Breakdown'!H97)</f>
        <v>0</v>
      </c>
      <c r="J21" s="57">
        <f t="array" ref="J21">_xlfn.IFS($D$10="Low",'2. Control Panel'!$L$15*'4.1 Revenue &amp; Cost Breakdown'!I97,'4. Financial Projection Summary'!$D$10="Moderate",'2. Control Panel'!$L$16*'4.1 Revenue &amp; Cost Breakdown'!I97,'4. Financial Projection Summary'!$D$10="High",'2. Control Panel'!$L$17*'4.1 Revenue &amp; Cost Breakdown'!I97)</f>
        <v>578812.5</v>
      </c>
      <c r="K21" s="57">
        <f t="array" ref="K21">_xlfn.IFS($D$10="Low",'2. Control Panel'!$L$15*'4.1 Revenue &amp; Cost Breakdown'!J97,'4. Financial Projection Summary'!$D$10="Moderate",'2. Control Panel'!$L$16*'4.1 Revenue &amp; Cost Breakdown'!J97,'4. Financial Projection Summary'!$D$10="High",'2. Control Panel'!$L$17*'4.1 Revenue &amp; Cost Breakdown'!J97)</f>
        <v>668528.4375</v>
      </c>
      <c r="L21" s="57">
        <f t="array" ref="L21">_xlfn.IFS($D$10="Low",'2. Control Panel'!$L$15*'4.1 Revenue &amp; Cost Breakdown'!K97,'4. Financial Projection Summary'!$D$10="Moderate",'2. Control Panel'!$L$16*'4.1 Revenue &amp; Cost Breakdown'!K97,'4. Financial Projection Summary'!$D$10="High",'2. Control Panel'!$L$17*'4.1 Revenue &amp; Cost Breakdown'!K97)</f>
        <v>772150.3453125</v>
      </c>
      <c r="M21" s="57">
        <f t="array" ref="M21">_xlfn.IFS($D$10="Low",'2. Control Panel'!$L$15*'4.1 Revenue &amp; Cost Breakdown'!L97,'4. Financial Projection Summary'!$D$10="Moderate",'2. Control Panel'!$L$16*'4.1 Revenue &amp; Cost Breakdown'!L97,'4. Financial Projection Summary'!$D$10="High",'2. Control Panel'!$L$17*'4.1 Revenue &amp; Cost Breakdown'!L97)</f>
        <v>891833.648835938</v>
      </c>
      <c r="N21" s="57">
        <f t="array" ref="N21">_xlfn.IFS($D$10="Low",'2. Control Panel'!$L$15*'4.1 Revenue &amp; Cost Breakdown'!M97,'4. Financial Projection Summary'!$D$10="Moderate",'2. Control Panel'!$L$16*'4.1 Revenue &amp; Cost Breakdown'!M97,'4. Financial Projection Summary'!$D$10="High",'2. Control Panel'!$L$17*'4.1 Revenue &amp; Cost Breakdown'!M97)</f>
        <v>1030067.86440551</v>
      </c>
    </row>
    <row r="22" s="3" customFormat="1" ht="58" customHeight="1" spans="3:14">
      <c r="C22" s="84"/>
      <c r="D22" s="25" t="s">
        <v>180</v>
      </c>
      <c r="E22" s="57">
        <f t="array" ref="E22">_xlfn.IFS($D$10="Low",'2. Control Panel'!$L$15*'4.1 Revenue &amp; Cost Breakdown'!D107,'4. Financial Projection Summary'!$D$10="Moderate",'2. Control Panel'!$L$16*'4.1 Revenue &amp; Cost Breakdown'!D107,'4. Financial Projection Summary'!$D$10="High",'2. Control Panel'!$L$17*'4.1 Revenue &amp; Cost Breakdown'!D107)</f>
        <v>0</v>
      </c>
      <c r="F22" s="57">
        <f t="array" ref="F22">_xlfn.IFS($D$10="Low",'2. Control Panel'!$L$15*'4.1 Revenue &amp; Cost Breakdown'!E107,'4. Financial Projection Summary'!$D$10="Moderate",'2. Control Panel'!$L$16*'4.1 Revenue &amp; Cost Breakdown'!E107,'4. Financial Projection Summary'!$D$10="High",'2. Control Panel'!$L$17*'4.1 Revenue &amp; Cost Breakdown'!E107)</f>
        <v>0</v>
      </c>
      <c r="G22" s="57">
        <f t="array" ref="G22">_xlfn.IFS($D$10="Low",'2. Control Panel'!$L$15*'4.1 Revenue &amp; Cost Breakdown'!F107,'4. Financial Projection Summary'!$D$10="Moderate",'2. Control Panel'!$L$16*'4.1 Revenue &amp; Cost Breakdown'!F107,'4. Financial Projection Summary'!$D$10="High",'2. Control Panel'!$L$17*'4.1 Revenue &amp; Cost Breakdown'!F107)</f>
        <v>0</v>
      </c>
      <c r="H22" s="57">
        <f t="array" ref="H22">_xlfn.IFS($D$10="Low",'2. Control Panel'!$L$15*'4.1 Revenue &amp; Cost Breakdown'!G107,'4. Financial Projection Summary'!$D$10="Moderate",'2. Control Panel'!$L$16*'4.1 Revenue &amp; Cost Breakdown'!G107,'4. Financial Projection Summary'!$D$10="High",'2. Control Panel'!$L$17*'4.1 Revenue &amp; Cost Breakdown'!G107)</f>
        <v>0</v>
      </c>
      <c r="I22" s="57">
        <f t="array" ref="I22">_xlfn.IFS($D$10="Low",'2. Control Panel'!$L$15*'4.1 Revenue &amp; Cost Breakdown'!H107,'4. Financial Projection Summary'!$D$10="Moderate",'2. Control Panel'!$L$16*'4.1 Revenue &amp; Cost Breakdown'!H107,'4. Financial Projection Summary'!$D$10="High",'2. Control Panel'!$L$17*'4.1 Revenue &amp; Cost Breakdown'!H107)</f>
        <v>0</v>
      </c>
      <c r="J22" s="57">
        <f t="array" ref="J22">_xlfn.IFS($D$10="Low",'2. Control Panel'!$L$15*'4.1 Revenue &amp; Cost Breakdown'!I107,'4. Financial Projection Summary'!$D$10="Moderate",'2. Control Panel'!$L$16*'4.1 Revenue &amp; Cost Breakdown'!I107,'4. Financial Projection Summary'!$D$10="High",'2. Control Panel'!$L$17*'4.1 Revenue &amp; Cost Breakdown'!I107)</f>
        <v>347287.5</v>
      </c>
      <c r="K22" s="57">
        <f t="array" ref="K22">_xlfn.IFS($D$10="Low",'2. Control Panel'!$L$15*'4.1 Revenue &amp; Cost Breakdown'!J107,'4. Financial Projection Summary'!$D$10="Moderate",'2. Control Panel'!$L$16*'4.1 Revenue &amp; Cost Breakdown'!J107,'4. Financial Projection Summary'!$D$10="High",'2. Control Panel'!$L$17*'4.1 Revenue &amp; Cost Breakdown'!J107)</f>
        <v>401117.0625</v>
      </c>
      <c r="L22" s="57">
        <f t="array" ref="L22">_xlfn.IFS($D$10="Low",'2. Control Panel'!$L$15*'4.1 Revenue &amp; Cost Breakdown'!K107,'4. Financial Projection Summary'!$D$10="Moderate",'2. Control Panel'!$L$16*'4.1 Revenue &amp; Cost Breakdown'!K107,'4. Financial Projection Summary'!$D$10="High",'2. Control Panel'!$L$17*'4.1 Revenue &amp; Cost Breakdown'!K107)</f>
        <v>463290.2071875</v>
      </c>
      <c r="M22" s="57">
        <f t="array" ref="M22">_xlfn.IFS($D$10="Low",'2. Control Panel'!$L$15*'4.1 Revenue &amp; Cost Breakdown'!L107,'4. Financial Projection Summary'!$D$10="Moderate",'2. Control Panel'!$L$16*'4.1 Revenue &amp; Cost Breakdown'!L107,'4. Financial Projection Summary'!$D$10="High",'2. Control Panel'!$L$17*'4.1 Revenue &amp; Cost Breakdown'!L107)</f>
        <v>535100.189301563</v>
      </c>
      <c r="N22" s="57">
        <f t="array" ref="N22">_xlfn.IFS($D$10="Low",'2. Control Panel'!$L$15*'4.1 Revenue &amp; Cost Breakdown'!M107,'4. Financial Projection Summary'!$D$10="Moderate",'2. Control Panel'!$L$16*'4.1 Revenue &amp; Cost Breakdown'!M107,'4. Financial Projection Summary'!$D$10="High",'2. Control Panel'!$L$17*'4.1 Revenue &amp; Cost Breakdown'!M107)</f>
        <v>618040.718643305</v>
      </c>
    </row>
    <row r="23" s="3" customFormat="1" ht="25" customHeight="1" spans="3:14">
      <c r="C23" s="85"/>
      <c r="D23" s="86" t="s">
        <v>281</v>
      </c>
      <c r="E23" s="96">
        <f>SUM(E20:E22)</f>
        <v>0</v>
      </c>
      <c r="F23" s="96">
        <f t="shared" ref="F23:N23" si="1">SUM(F20:F22)</f>
        <v>0</v>
      </c>
      <c r="G23" s="96">
        <f t="shared" si="1"/>
        <v>0</v>
      </c>
      <c r="H23" s="96">
        <f t="shared" si="1"/>
        <v>0</v>
      </c>
      <c r="I23" s="96">
        <f t="shared" si="1"/>
        <v>0</v>
      </c>
      <c r="J23" s="96">
        <f t="shared" si="1"/>
        <v>58807350</v>
      </c>
      <c r="K23" s="96">
        <f t="shared" si="1"/>
        <v>67922489.25</v>
      </c>
      <c r="L23" s="96">
        <f t="shared" si="1"/>
        <v>78450475.08375</v>
      </c>
      <c r="M23" s="96">
        <f t="shared" si="1"/>
        <v>90610298.7217313</v>
      </c>
      <c r="N23" s="96">
        <f t="shared" si="1"/>
        <v>104654895.0236</v>
      </c>
    </row>
    <row r="24" s="3" customFormat="1" ht="34" customHeight="1" spans="3:14">
      <c r="C24" s="89"/>
      <c r="D24" s="89" t="s">
        <v>282</v>
      </c>
      <c r="E24" s="98">
        <f>SUM(E19,E23)</f>
        <v>0</v>
      </c>
      <c r="F24" s="98">
        <f t="shared" ref="F24:N24" si="2">SUM(F19,F23)</f>
        <v>3000000</v>
      </c>
      <c r="G24" s="98">
        <f t="shared" si="2"/>
        <v>9000000</v>
      </c>
      <c r="H24" s="98">
        <f t="shared" si="2"/>
        <v>14175000</v>
      </c>
      <c r="I24" s="98">
        <f t="shared" si="2"/>
        <v>22325625</v>
      </c>
      <c r="J24" s="98">
        <f t="shared" si="2"/>
        <v>298898775</v>
      </c>
      <c r="K24" s="98">
        <f t="shared" si="2"/>
        <v>363164095.35</v>
      </c>
      <c r="L24" s="98">
        <f t="shared" si="2"/>
        <v>446485663.110375</v>
      </c>
      <c r="M24" s="98">
        <f t="shared" si="2"/>
        <v>547014979.642359</v>
      </c>
      <c r="N24" s="98">
        <f t="shared" si="2"/>
        <v>677927728.7498</v>
      </c>
    </row>
    <row r="25" spans="3:7">
      <c r="C25" s="90"/>
      <c r="D25" s="91"/>
      <c r="E25" s="99"/>
      <c r="F25" s="100"/>
      <c r="G25" s="4"/>
    </row>
    <row r="26" spans="3:7">
      <c r="C26" s="90"/>
      <c r="D26" s="91"/>
      <c r="E26" s="99"/>
      <c r="F26" s="100"/>
      <c r="G26" s="4"/>
    </row>
    <row r="28" ht="17.55" spans="4:4">
      <c r="D28" s="79" t="s">
        <v>272</v>
      </c>
    </row>
    <row r="29" ht="34.75" spans="3:4">
      <c r="C29" s="80" t="s">
        <v>283</v>
      </c>
      <c r="D29" s="81" t="s">
        <v>38</v>
      </c>
    </row>
    <row r="31" ht="23.2" spans="3:3">
      <c r="C31" s="82" t="s">
        <v>284</v>
      </c>
    </row>
    <row r="33" spans="3:14">
      <c r="C33" s="83" t="s">
        <v>275</v>
      </c>
      <c r="D33" s="83"/>
      <c r="E33" s="20">
        <v>2026</v>
      </c>
      <c r="F33" s="20">
        <v>2027</v>
      </c>
      <c r="G33" s="20">
        <v>2028</v>
      </c>
      <c r="H33" s="20">
        <v>2029</v>
      </c>
      <c r="I33" s="20">
        <v>2030</v>
      </c>
      <c r="J33" s="20">
        <v>2031</v>
      </c>
      <c r="K33" s="20">
        <v>2032</v>
      </c>
      <c r="L33" s="20">
        <v>2033</v>
      </c>
      <c r="M33" s="20">
        <v>2034</v>
      </c>
      <c r="N33" s="20">
        <v>2035</v>
      </c>
    </row>
    <row r="34" ht="37" customHeight="1" spans="3:14">
      <c r="C34" s="84" t="s">
        <v>285</v>
      </c>
      <c r="D34" s="38" t="s">
        <v>286</v>
      </c>
      <c r="E34" s="57">
        <f t="array" ref="E34">_xlfn.IFS($D$29="Low",'2. Control Panel'!$L$15*SUM('4.1 Revenue &amp; Cost Breakdown'!D120,'4.1 Revenue &amp; Cost Breakdown'!D122,'4.1 Revenue &amp; Cost Breakdown'!D124,'4.1 Revenue &amp; Cost Breakdown'!D126),'4. Financial Projection Summary'!$D$29="Moderate",'2. Control Panel'!$L$16*SUM('4.1 Revenue &amp; Cost Breakdown'!D120,'4.1 Revenue &amp; Cost Breakdown'!D122,'4.1 Revenue &amp; Cost Breakdown'!D124,'4.1 Revenue &amp; Cost Breakdown'!D126),'4. Financial Projection Summary'!$D$29="High",'2. Control Panel'!$L$17*SUM('4.1 Revenue &amp; Cost Breakdown'!D120,'4.1 Revenue &amp; Cost Breakdown'!D122,'4.1 Revenue &amp; Cost Breakdown'!D124,'4.1 Revenue &amp; Cost Breakdown'!D126))</f>
        <v>2850000</v>
      </c>
      <c r="F34" s="57">
        <f t="array" ref="F34">_xlfn.IFS($D$29="Low",'2. Control Panel'!$L$15*SUM('4.1 Revenue &amp; Cost Breakdown'!E120,'4.1 Revenue &amp; Cost Breakdown'!E122,'4.1 Revenue &amp; Cost Breakdown'!E124,'4.1 Revenue &amp; Cost Breakdown'!E126),'4. Financial Projection Summary'!$D$29="Moderate",'2. Control Panel'!$L$16*SUM('4.1 Revenue &amp; Cost Breakdown'!E120,'4.1 Revenue &amp; Cost Breakdown'!E122,'4.1 Revenue &amp; Cost Breakdown'!E124,'4.1 Revenue &amp; Cost Breakdown'!E126),'4. Financial Projection Summary'!$D$29="High",'2. Control Panel'!$L$17*SUM('4.1 Revenue &amp; Cost Breakdown'!E120,'4.1 Revenue &amp; Cost Breakdown'!E122,'4.1 Revenue &amp; Cost Breakdown'!E124,'4.1 Revenue &amp; Cost Breakdown'!E126))</f>
        <v>3006000</v>
      </c>
      <c r="G34" s="57">
        <f t="array" ref="G34">_xlfn.IFS($D$29="Low",'2. Control Panel'!$L$15*SUM('4.1 Revenue &amp; Cost Breakdown'!F120,'4.1 Revenue &amp; Cost Breakdown'!F122,'4.1 Revenue &amp; Cost Breakdown'!F124,'4.1 Revenue &amp; Cost Breakdown'!F126),'4. Financial Projection Summary'!$D$29="Moderate",'2. Control Panel'!$L$16*SUM('4.1 Revenue &amp; Cost Breakdown'!F120,'4.1 Revenue &amp; Cost Breakdown'!F122,'4.1 Revenue &amp; Cost Breakdown'!F124,'4.1 Revenue &amp; Cost Breakdown'!F126),'4. Financial Projection Summary'!$D$29="High",'2. Control Panel'!$L$17*SUM('4.1 Revenue &amp; Cost Breakdown'!F120,'4.1 Revenue &amp; Cost Breakdown'!F122,'4.1 Revenue &amp; Cost Breakdown'!F124,'4.1 Revenue &amp; Cost Breakdown'!F126))</f>
        <v>5095700</v>
      </c>
      <c r="H34" s="57">
        <f t="array" ref="H34">_xlfn.IFS($D$29="Low",'2. Control Panel'!$L$15*SUM('4.1 Revenue &amp; Cost Breakdown'!G120,'4.1 Revenue &amp; Cost Breakdown'!G122,'4.1 Revenue &amp; Cost Breakdown'!G124,'4.1 Revenue &amp; Cost Breakdown'!G126),'4. Financial Projection Summary'!$D$29="Moderate",'2. Control Panel'!$L$16*SUM('4.1 Revenue &amp; Cost Breakdown'!G120,'4.1 Revenue &amp; Cost Breakdown'!G122,'4.1 Revenue &amp; Cost Breakdown'!G124,'4.1 Revenue &amp; Cost Breakdown'!G126),'4. Financial Projection Summary'!$D$29="High",'2. Control Panel'!$L$17*SUM('4.1 Revenue &amp; Cost Breakdown'!G120,'4.1 Revenue &amp; Cost Breakdown'!G122,'4.1 Revenue &amp; Cost Breakdown'!G124,'4.1 Revenue &amp; Cost Breakdown'!G126))</f>
        <v>5448420</v>
      </c>
      <c r="I34" s="57">
        <f t="array" ref="I34">_xlfn.IFS($D$29="Low",'2. Control Panel'!$L$15*SUM('4.1 Revenue &amp; Cost Breakdown'!H120,'4.1 Revenue &amp; Cost Breakdown'!H122,'4.1 Revenue &amp; Cost Breakdown'!H124,'4.1 Revenue &amp; Cost Breakdown'!H126),'4. Financial Projection Summary'!$D$29="Moderate",'2. Control Panel'!$L$16*SUM('4.1 Revenue &amp; Cost Breakdown'!H120,'4.1 Revenue &amp; Cost Breakdown'!H122,'4.1 Revenue &amp; Cost Breakdown'!H124,'4.1 Revenue &amp; Cost Breakdown'!H126),'4. Financial Projection Summary'!$D$29="High",'2. Control Panel'!$L$17*SUM('4.1 Revenue &amp; Cost Breakdown'!H120,'4.1 Revenue &amp; Cost Breakdown'!H122,'4.1 Revenue &amp; Cost Breakdown'!H124,'4.1 Revenue &amp; Cost Breakdown'!H126))</f>
        <v>9038565</v>
      </c>
      <c r="J34" s="57">
        <f t="array" ref="J34">_xlfn.IFS($D$29="Low",'2. Control Panel'!$L$15*SUM('4.1 Revenue &amp; Cost Breakdown'!I120,'4.1 Revenue &amp; Cost Breakdown'!I122,'4.1 Revenue &amp; Cost Breakdown'!I124,'4.1 Revenue &amp; Cost Breakdown'!I126),'4. Financial Projection Summary'!$D$29="Moderate",'2. Control Panel'!$L$16*SUM('4.1 Revenue &amp; Cost Breakdown'!I120,'4.1 Revenue &amp; Cost Breakdown'!I122,'4.1 Revenue &amp; Cost Breakdown'!I124,'4.1 Revenue &amp; Cost Breakdown'!I126),'4. Financial Projection Summary'!$D$29="High",'2. Control Panel'!$L$17*SUM('4.1 Revenue &amp; Cost Breakdown'!I120,'4.1 Revenue &amp; Cost Breakdown'!I122,'4.1 Revenue &amp; Cost Breakdown'!I124,'4.1 Revenue &amp; Cost Breakdown'!I126))</f>
        <v>9608052.84</v>
      </c>
      <c r="K34" s="57">
        <f t="array" ref="K34">_xlfn.IFS($D$29="Low",'2. Control Panel'!$L$15*SUM('4.1 Revenue &amp; Cost Breakdown'!J120,'4.1 Revenue &amp; Cost Breakdown'!J122,'4.1 Revenue &amp; Cost Breakdown'!J124,'4.1 Revenue &amp; Cost Breakdown'!J126),'4. Financial Projection Summary'!$D$29="Moderate",'2. Control Panel'!$L$16*SUM('4.1 Revenue &amp; Cost Breakdown'!J120,'4.1 Revenue &amp; Cost Breakdown'!J122,'4.1 Revenue &amp; Cost Breakdown'!J124,'4.1 Revenue &amp; Cost Breakdown'!J126),'4. Financial Projection Summary'!$D$29="High",'2. Control Panel'!$L$17*SUM('4.1 Revenue &amp; Cost Breakdown'!J120,'4.1 Revenue &amp; Cost Breakdown'!J122,'4.1 Revenue &amp; Cost Breakdown'!J124,'4.1 Revenue &amp; Cost Breakdown'!J126))</f>
        <v>10217267.1462</v>
      </c>
      <c r="L34" s="57">
        <f t="array" ref="L34">_xlfn.IFS($D$29="Low",'2. Control Panel'!$L$15*SUM('4.1 Revenue &amp; Cost Breakdown'!K120,'4.1 Revenue &amp; Cost Breakdown'!K122,'4.1 Revenue &amp; Cost Breakdown'!K124,'4.1 Revenue &amp; Cost Breakdown'!K126),'4. Financial Projection Summary'!$D$29="Moderate",'2. Control Panel'!$L$16*SUM('4.1 Revenue &amp; Cost Breakdown'!K120,'4.1 Revenue &amp; Cost Breakdown'!K122,'4.1 Revenue &amp; Cost Breakdown'!K124,'4.1 Revenue &amp; Cost Breakdown'!K126),'4. Financial Projection Summary'!$D$29="High",'2. Control Panel'!$L$17*SUM('4.1 Revenue &amp; Cost Breakdown'!K120,'4.1 Revenue &amp; Cost Breakdown'!K122,'4.1 Revenue &amp; Cost Breakdown'!K124,'4.1 Revenue &amp; Cost Breakdown'!K126))</f>
        <v>10869279.138546</v>
      </c>
      <c r="M34" s="57">
        <f t="array" ref="M34">_xlfn.IFS($D$29="Low",'2. Control Panel'!$L$15*SUM('4.1 Revenue &amp; Cost Breakdown'!L120,'4.1 Revenue &amp; Cost Breakdown'!L122,'4.1 Revenue &amp; Cost Breakdown'!L124,'4.1 Revenue &amp; Cost Breakdown'!L126),'4. Financial Projection Summary'!$D$29="Moderate",'2. Control Panel'!$L$16*SUM('4.1 Revenue &amp; Cost Breakdown'!L120,'4.1 Revenue &amp; Cost Breakdown'!L122,'4.1 Revenue &amp; Cost Breakdown'!L124,'4.1 Revenue &amp; Cost Breakdown'!L126),'4. Financial Projection Summary'!$D$29="High",'2. Control Panel'!$L$17*SUM('4.1 Revenue &amp; Cost Breakdown'!L120,'4.1 Revenue &amp; Cost Breakdown'!L122,'4.1 Revenue &amp; Cost Breakdown'!L124,'4.1 Revenue &amp; Cost Breakdown'!L126))</f>
        <v>11567418.8627822</v>
      </c>
      <c r="N34" s="57">
        <f t="array" ref="N34">_xlfn.IFS($D$29="Low",'2. Control Panel'!$L$15*SUM('4.1 Revenue &amp; Cost Breakdown'!M120,'4.1 Revenue &amp; Cost Breakdown'!M122,'4.1 Revenue &amp; Cost Breakdown'!M124,'4.1 Revenue &amp; Cost Breakdown'!M126),'4. Financial Projection Summary'!$D$29="Moderate",'2. Control Panel'!$L$16*SUM('4.1 Revenue &amp; Cost Breakdown'!M120,'4.1 Revenue &amp; Cost Breakdown'!M122,'4.1 Revenue &amp; Cost Breakdown'!M124,'4.1 Revenue &amp; Cost Breakdown'!M126),'4. Financial Projection Summary'!$D$29="High",'2. Control Panel'!$L$17*SUM('4.1 Revenue &amp; Cost Breakdown'!M120,'4.1 Revenue &amp; Cost Breakdown'!M122,'4.1 Revenue &amp; Cost Breakdown'!M124,'4.1 Revenue &amp; Cost Breakdown'!M126))</f>
        <v>12315298.4002319</v>
      </c>
    </row>
    <row r="35" ht="37" customHeight="1" spans="3:14">
      <c r="C35" s="84"/>
      <c r="D35" s="38" t="s">
        <v>287</v>
      </c>
      <c r="E35" s="57">
        <f t="array" ref="E35">_xlfn.IFS($D$29="Low",'2. Control Panel'!$L$15*SUM('4.1 Revenue &amp; Cost Breakdown'!D128,'4.1 Revenue &amp; Cost Breakdown'!D134),'4. Financial Projection Summary'!$D$29="Moderate",'2. Control Panel'!$L$16*SUM('4.1 Revenue &amp; Cost Breakdown'!D128,'4.1 Revenue &amp; Cost Breakdown'!D134),'4. Financial Projection Summary'!$D$29="High",'2. Control Panel'!$L$17*SUM('4.1 Revenue &amp; Cost Breakdown'!D128,'4.1 Revenue &amp; Cost Breakdown'!D134))</f>
        <v>25000</v>
      </c>
      <c r="F35" s="57">
        <f t="array" ref="F35">_xlfn.IFS($D$29="Low",'2. Control Panel'!$L$15*SUM('4.1 Revenue &amp; Cost Breakdown'!E128,'4.1 Revenue &amp; Cost Breakdown'!E134),'4. Financial Projection Summary'!$D$29="Moderate",'2. Control Panel'!$L$16*SUM('4.1 Revenue &amp; Cost Breakdown'!E128,'4.1 Revenue &amp; Cost Breakdown'!E134),'4. Financial Projection Summary'!$D$29="High",'2. Control Panel'!$L$17*SUM('4.1 Revenue &amp; Cost Breakdown'!E128,'4.1 Revenue &amp; Cost Breakdown'!E134))</f>
        <v>28750</v>
      </c>
      <c r="G35" s="57">
        <f t="array" ref="G35">_xlfn.IFS($D$29="Low",'2. Control Panel'!$L$15*SUM('4.1 Revenue &amp; Cost Breakdown'!F128,'4.1 Revenue &amp; Cost Breakdown'!F134),'4. Financial Projection Summary'!$D$29="Moderate",'2. Control Panel'!$L$16*SUM('4.1 Revenue &amp; Cost Breakdown'!F128,'4.1 Revenue &amp; Cost Breakdown'!F134),'4. Financial Projection Summary'!$D$29="High",'2. Control Panel'!$L$17*SUM('4.1 Revenue &amp; Cost Breakdown'!F128,'4.1 Revenue &amp; Cost Breakdown'!F134))</f>
        <v>58062.5</v>
      </c>
      <c r="H35" s="57">
        <f t="array" ref="H35">_xlfn.IFS($D$29="Low",'2. Control Panel'!$L$15*SUM('4.1 Revenue &amp; Cost Breakdown'!G128,'4.1 Revenue &amp; Cost Breakdown'!G134),'4. Financial Projection Summary'!$D$29="Moderate",'2. Control Panel'!$L$16*SUM('4.1 Revenue &amp; Cost Breakdown'!G128,'4.1 Revenue &amp; Cost Breakdown'!G134),'4. Financial Projection Summary'!$D$29="High",'2. Control Panel'!$L$17*SUM('4.1 Revenue &amp; Cost Breakdown'!G128,'4.1 Revenue &amp; Cost Breakdown'!G134))</f>
        <v>66771.875</v>
      </c>
      <c r="I35" s="57">
        <f t="array" ref="I35">_xlfn.IFS($D$29="Low",'2. Control Panel'!$L$15*SUM('4.1 Revenue &amp; Cost Breakdown'!H128,'4.1 Revenue &amp; Cost Breakdown'!H134),'4. Financial Projection Summary'!$D$29="Moderate",'2. Control Panel'!$L$16*SUM('4.1 Revenue &amp; Cost Breakdown'!H128,'4.1 Revenue &amp; Cost Breakdown'!H134),'4. Financial Projection Summary'!$D$29="High",'2. Control Panel'!$L$17*SUM('4.1 Revenue &amp; Cost Breakdown'!H128,'4.1 Revenue &amp; Cost Breakdown'!H134))</f>
        <v>76787.65625</v>
      </c>
      <c r="J35" s="57">
        <f t="array" ref="J35">_xlfn.IFS($D$29="Low",'2. Control Panel'!$L$15*SUM('4.1 Revenue &amp; Cost Breakdown'!I128,'4.1 Revenue &amp; Cost Breakdown'!I134),'4. Financial Projection Summary'!$D$29="Moderate",'2. Control Panel'!$L$16*SUM('4.1 Revenue &amp; Cost Breakdown'!I128,'4.1 Revenue &amp; Cost Breakdown'!I134),'4. Financial Projection Summary'!$D$29="High",'2. Control Panel'!$L$17*SUM('4.1 Revenue &amp; Cost Breakdown'!I128,'4.1 Revenue &amp; Cost Breakdown'!I134))</f>
        <v>88305.8046875</v>
      </c>
      <c r="K35" s="57">
        <f t="array" ref="K35">_xlfn.IFS($D$29="Low",'2. Control Panel'!$L$15*SUM('4.1 Revenue &amp; Cost Breakdown'!J128,'4.1 Revenue &amp; Cost Breakdown'!J134),'4. Financial Projection Summary'!$D$29="Moderate",'2. Control Panel'!$L$16*SUM('4.1 Revenue &amp; Cost Breakdown'!J128,'4.1 Revenue &amp; Cost Breakdown'!J134),'4. Financial Projection Summary'!$D$29="High",'2. Control Panel'!$L$17*SUM('4.1 Revenue &amp; Cost Breakdown'!J128,'4.1 Revenue &amp; Cost Breakdown'!J134))</f>
        <v>101551.675390625</v>
      </c>
      <c r="L35" s="57">
        <f t="array" ref="L35">_xlfn.IFS($D$29="Low",'2. Control Panel'!$L$15*SUM('4.1 Revenue &amp; Cost Breakdown'!K128,'4.1 Revenue &amp; Cost Breakdown'!K134),'4. Financial Projection Summary'!$D$29="Moderate",'2. Control Panel'!$L$16*SUM('4.1 Revenue &amp; Cost Breakdown'!K128,'4.1 Revenue &amp; Cost Breakdown'!K134),'4. Financial Projection Summary'!$D$29="High",'2. Control Panel'!$L$17*SUM('4.1 Revenue &amp; Cost Breakdown'!K128,'4.1 Revenue &amp; Cost Breakdown'!K134))</f>
        <v>116784.426699219</v>
      </c>
      <c r="M35" s="57">
        <f t="array" ref="M35">_xlfn.IFS($D$29="Low",'2. Control Panel'!$L$15*SUM('4.1 Revenue &amp; Cost Breakdown'!L128,'4.1 Revenue &amp; Cost Breakdown'!L134),'4. Financial Projection Summary'!$D$29="Moderate",'2. Control Panel'!$L$16*SUM('4.1 Revenue &amp; Cost Breakdown'!L128,'4.1 Revenue &amp; Cost Breakdown'!L134),'4. Financial Projection Summary'!$D$29="High",'2. Control Panel'!$L$17*SUM('4.1 Revenue &amp; Cost Breakdown'!L128,'4.1 Revenue &amp; Cost Breakdown'!L134))</f>
        <v>134302.090704101</v>
      </c>
      <c r="N35" s="57">
        <f t="array" ref="N35">_xlfn.IFS($D$29="Low",'2. Control Panel'!$L$15*SUM('4.1 Revenue &amp; Cost Breakdown'!M128,'4.1 Revenue &amp; Cost Breakdown'!M134),'4. Financial Projection Summary'!$D$29="Moderate",'2. Control Panel'!$L$16*SUM('4.1 Revenue &amp; Cost Breakdown'!M128,'4.1 Revenue &amp; Cost Breakdown'!M134),'4. Financial Projection Summary'!$D$29="High",'2. Control Panel'!$L$17*SUM('4.1 Revenue &amp; Cost Breakdown'!M128,'4.1 Revenue &amp; Cost Breakdown'!M134))</f>
        <v>154447.404309717</v>
      </c>
    </row>
    <row r="36" ht="37" customHeight="1" spans="3:14">
      <c r="C36" s="84"/>
      <c r="D36" s="38" t="s">
        <v>288</v>
      </c>
      <c r="E36" s="57">
        <f t="array" ref="E36">_xlfn.IFS($D$29="Low",'2. Control Panel'!$L$15*'4.1 Revenue &amp; Cost Breakdown'!D130,'4. Financial Projection Summary'!$D$29="Moderate",'2. Control Panel'!$L$16*'4.1 Revenue &amp; Cost Breakdown'!D130,'4. Financial Projection Summary'!$D$29="High",'2. Control Panel'!$L$17*'4.1 Revenue &amp; Cost Breakdown'!D130)</f>
        <v>100000</v>
      </c>
      <c r="F36" s="57">
        <f t="array" ref="F36">_xlfn.IFS($D$29="Low",'2. Control Panel'!$L$15*'4.1 Revenue &amp; Cost Breakdown'!E130,'4. Financial Projection Summary'!$D$29="Moderate",'2. Control Panel'!$L$16*'4.1 Revenue &amp; Cost Breakdown'!E130,'4. Financial Projection Summary'!$D$29="High",'2. Control Panel'!$L$17*'4.1 Revenue &amp; Cost Breakdown'!E130)</f>
        <v>115000</v>
      </c>
      <c r="G36" s="57">
        <f t="array" ref="G36">_xlfn.IFS($D$29="Low",'2. Control Panel'!$L$15*'4.1 Revenue &amp; Cost Breakdown'!F130,'4. Financial Projection Summary'!$D$29="Moderate",'2. Control Panel'!$L$16*'4.1 Revenue &amp; Cost Breakdown'!F130,'4. Financial Projection Summary'!$D$29="High",'2. Control Panel'!$L$17*'4.1 Revenue &amp; Cost Breakdown'!F130)</f>
        <v>132250</v>
      </c>
      <c r="H36" s="57">
        <f t="array" ref="H36">_xlfn.IFS($D$29="Low",'2. Control Panel'!$L$15*'4.1 Revenue &amp; Cost Breakdown'!G130,'4. Financial Projection Summary'!$D$29="Moderate",'2. Control Panel'!$L$16*'4.1 Revenue &amp; Cost Breakdown'!G130,'4. Financial Projection Summary'!$D$29="High",'2. Control Panel'!$L$17*'4.1 Revenue &amp; Cost Breakdown'!G130)</f>
        <v>152087.5</v>
      </c>
      <c r="I36" s="57">
        <f t="array" ref="I36">_xlfn.IFS($D$29="Low",'2. Control Panel'!$L$15*'4.1 Revenue &amp; Cost Breakdown'!H130,'4. Financial Projection Summary'!$D$29="Moderate",'2. Control Panel'!$L$16*'4.1 Revenue &amp; Cost Breakdown'!H130,'4. Financial Projection Summary'!$D$29="High",'2. Control Panel'!$L$17*'4.1 Revenue &amp; Cost Breakdown'!H130)</f>
        <v>174900.625</v>
      </c>
      <c r="J36" s="57">
        <f t="array" ref="J36">_xlfn.IFS($D$29="Low",'2. Control Panel'!$L$15*'4.1 Revenue &amp; Cost Breakdown'!I130,'4. Financial Projection Summary'!$D$29="Moderate",'2. Control Panel'!$L$16*'4.1 Revenue &amp; Cost Breakdown'!I130,'4. Financial Projection Summary'!$D$29="High",'2. Control Panel'!$L$17*'4.1 Revenue &amp; Cost Breakdown'!I130)</f>
        <v>201135.71875</v>
      </c>
      <c r="K36" s="57">
        <f t="array" ref="K36">_xlfn.IFS($D$29="Low",'2. Control Panel'!$L$15*'4.1 Revenue &amp; Cost Breakdown'!J130,'4. Financial Projection Summary'!$D$29="Moderate",'2. Control Panel'!$L$16*'4.1 Revenue &amp; Cost Breakdown'!J130,'4. Financial Projection Summary'!$D$29="High",'2. Control Panel'!$L$17*'4.1 Revenue &amp; Cost Breakdown'!J130)</f>
        <v>231306.0765625</v>
      </c>
      <c r="L36" s="57">
        <f t="array" ref="L36">_xlfn.IFS($D$29="Low",'2. Control Panel'!$L$15*'4.1 Revenue &amp; Cost Breakdown'!K130,'4. Financial Projection Summary'!$D$29="Moderate",'2. Control Panel'!$L$16*'4.1 Revenue &amp; Cost Breakdown'!K130,'4. Financial Projection Summary'!$D$29="High",'2. Control Panel'!$L$17*'4.1 Revenue &amp; Cost Breakdown'!K130)</f>
        <v>266001.988046875</v>
      </c>
      <c r="M36" s="57">
        <f t="array" ref="M36">_xlfn.IFS($D$29="Low",'2. Control Panel'!$L$15*'4.1 Revenue &amp; Cost Breakdown'!L130,'4. Financial Projection Summary'!$D$29="Moderate",'2. Control Panel'!$L$16*'4.1 Revenue &amp; Cost Breakdown'!L130,'4. Financial Projection Summary'!$D$29="High",'2. Control Panel'!$L$17*'4.1 Revenue &amp; Cost Breakdown'!L130)</f>
        <v>305902.286253906</v>
      </c>
      <c r="N36" s="57">
        <f t="array" ref="N36">_xlfn.IFS($D$29="Low",'2. Control Panel'!$L$15*'4.1 Revenue &amp; Cost Breakdown'!M130,'4. Financial Projection Summary'!$D$29="Moderate",'2. Control Panel'!$L$16*'4.1 Revenue &amp; Cost Breakdown'!M130,'4. Financial Projection Summary'!$D$29="High",'2. Control Panel'!$L$17*'4.1 Revenue &amp; Cost Breakdown'!M130)</f>
        <v>351787.629191992</v>
      </c>
    </row>
    <row r="37" ht="37" customHeight="1" spans="3:14">
      <c r="C37" s="84"/>
      <c r="D37" s="38" t="s">
        <v>289</v>
      </c>
      <c r="E37" s="57">
        <f t="array" ref="E37">_xlfn.IFS($D$29="Low",'2. Control Panel'!$L$15*'4.1 Revenue &amp; Cost Breakdown'!D132,'4. Financial Projection Summary'!$D$29="Moderate",'2. Control Panel'!$L$16*'4.1 Revenue &amp; Cost Breakdown'!D132,'4. Financial Projection Summary'!$D$29="High",'2. Control Panel'!$L$17*'4.1 Revenue &amp; Cost Breakdown'!D132)</f>
        <v>50000</v>
      </c>
      <c r="F37" s="57">
        <f t="array" ref="F37">_xlfn.IFS($D$29="Low",'2. Control Panel'!$L$15*'4.1 Revenue &amp; Cost Breakdown'!E132,'4. Financial Projection Summary'!$D$29="Moderate",'2. Control Panel'!$L$16*'4.1 Revenue &amp; Cost Breakdown'!E132,'4. Financial Projection Summary'!$D$29="High",'2. Control Panel'!$L$17*'4.1 Revenue &amp; Cost Breakdown'!E132)</f>
        <v>60000</v>
      </c>
      <c r="G37" s="57">
        <f t="array" ref="G37">_xlfn.IFS($D$29="Low",'2. Control Panel'!$L$15*'4.1 Revenue &amp; Cost Breakdown'!F132,'4. Financial Projection Summary'!$D$29="Moderate",'2. Control Panel'!$L$16*'4.1 Revenue &amp; Cost Breakdown'!F132,'4. Financial Projection Summary'!$D$29="High",'2. Control Panel'!$L$17*'4.1 Revenue &amp; Cost Breakdown'!F132)</f>
        <v>72000</v>
      </c>
      <c r="H37" s="57">
        <f t="array" ref="H37">_xlfn.IFS($D$29="Low",'2. Control Panel'!$L$15*'4.1 Revenue &amp; Cost Breakdown'!G132,'4. Financial Projection Summary'!$D$29="Moderate",'2. Control Panel'!$L$16*'4.1 Revenue &amp; Cost Breakdown'!G132,'4. Financial Projection Summary'!$D$29="High",'2. Control Panel'!$L$17*'4.1 Revenue &amp; Cost Breakdown'!G132)</f>
        <v>86400</v>
      </c>
      <c r="I37" s="57">
        <f t="array" ref="I37">_xlfn.IFS($D$29="Low",'2. Control Panel'!$L$15*'4.1 Revenue &amp; Cost Breakdown'!H132,'4. Financial Projection Summary'!$D$29="Moderate",'2. Control Panel'!$L$16*'4.1 Revenue &amp; Cost Breakdown'!H132,'4. Financial Projection Summary'!$D$29="High",'2. Control Panel'!$L$17*'4.1 Revenue &amp; Cost Breakdown'!H132)</f>
        <v>103680</v>
      </c>
      <c r="J37" s="57">
        <f t="array" ref="J37">_xlfn.IFS($D$29="Low",'2. Control Panel'!$L$15*'4.1 Revenue &amp; Cost Breakdown'!I132,'4. Financial Projection Summary'!$D$29="Moderate",'2. Control Panel'!$L$16*'4.1 Revenue &amp; Cost Breakdown'!I132,'4. Financial Projection Summary'!$D$29="High",'2. Control Panel'!$L$17*'4.1 Revenue &amp; Cost Breakdown'!I132)</f>
        <v>124416</v>
      </c>
      <c r="K37" s="57">
        <f t="array" ref="K37">_xlfn.IFS($D$29="Low",'2. Control Panel'!$L$15*'4.1 Revenue &amp; Cost Breakdown'!J132,'4. Financial Projection Summary'!$D$29="Moderate",'2. Control Panel'!$L$16*'4.1 Revenue &amp; Cost Breakdown'!J132,'4. Financial Projection Summary'!$D$29="High",'2. Control Panel'!$L$17*'4.1 Revenue &amp; Cost Breakdown'!J132)</f>
        <v>149299.2</v>
      </c>
      <c r="L37" s="57">
        <f t="array" ref="L37">_xlfn.IFS($D$29="Low",'2. Control Panel'!$L$15*'4.1 Revenue &amp; Cost Breakdown'!K132,'4. Financial Projection Summary'!$D$29="Moderate",'2. Control Panel'!$L$16*'4.1 Revenue &amp; Cost Breakdown'!K132,'4. Financial Projection Summary'!$D$29="High",'2. Control Panel'!$L$17*'4.1 Revenue &amp; Cost Breakdown'!K132)</f>
        <v>179159.04</v>
      </c>
      <c r="M37" s="57">
        <f t="array" ref="M37">_xlfn.IFS($D$29="Low",'2. Control Panel'!$L$15*'4.1 Revenue &amp; Cost Breakdown'!L132,'4. Financial Projection Summary'!$D$29="Moderate",'2. Control Panel'!$L$16*'4.1 Revenue &amp; Cost Breakdown'!L132,'4. Financial Projection Summary'!$D$29="High",'2. Control Panel'!$L$17*'4.1 Revenue &amp; Cost Breakdown'!L132)</f>
        <v>214990.848</v>
      </c>
      <c r="N37" s="57">
        <f t="array" ref="N37">_xlfn.IFS($D$29="Low",'2. Control Panel'!$L$15*'4.1 Revenue &amp; Cost Breakdown'!M132,'4. Financial Projection Summary'!$D$29="Moderate",'2. Control Panel'!$L$16*'4.1 Revenue &amp; Cost Breakdown'!M132,'4. Financial Projection Summary'!$D$29="High",'2. Control Panel'!$L$17*'4.1 Revenue &amp; Cost Breakdown'!M132)</f>
        <v>257989.0176</v>
      </c>
    </row>
    <row r="38" ht="37" customHeight="1" spans="3:14">
      <c r="C38" s="85"/>
      <c r="D38" s="86" t="s">
        <v>290</v>
      </c>
      <c r="E38" s="101">
        <f>SUM(E34:E37)</f>
        <v>3025000</v>
      </c>
      <c r="F38" s="101">
        <f t="shared" ref="F38:N38" si="3">SUM(F34:F37)</f>
        <v>3209750</v>
      </c>
      <c r="G38" s="101">
        <f t="shared" si="3"/>
        <v>5358012.5</v>
      </c>
      <c r="H38" s="101">
        <f t="shared" si="3"/>
        <v>5753679.375</v>
      </c>
      <c r="I38" s="101">
        <f t="shared" si="3"/>
        <v>9393933.28125</v>
      </c>
      <c r="J38" s="101">
        <f t="shared" si="3"/>
        <v>10021910.3634375</v>
      </c>
      <c r="K38" s="101">
        <f t="shared" si="3"/>
        <v>10699424.0981531</v>
      </c>
      <c r="L38" s="101">
        <f t="shared" si="3"/>
        <v>11431224.5932921</v>
      </c>
      <c r="M38" s="101">
        <f t="shared" si="3"/>
        <v>12222614.0877402</v>
      </c>
      <c r="N38" s="101">
        <f t="shared" si="3"/>
        <v>13079522.4513336</v>
      </c>
    </row>
    <row r="39" ht="37" customHeight="1" spans="3:14">
      <c r="C39" s="87" t="s">
        <v>291</v>
      </c>
      <c r="D39" s="92" t="s">
        <v>292</v>
      </c>
      <c r="E39" s="57">
        <f t="array" ref="E39">_xlfn.IFS($D$29="Low",'2. Control Panel'!$L$15*'4.1 Revenue &amp; Cost Breakdown'!D136,'4. Financial Projection Summary'!$D$29="Moderate",'2. Control Panel'!$L$16*'4.1 Revenue &amp; Cost Breakdown'!D136,'4. Financial Projection Summary'!$D$29="High",'2. Control Panel'!$L$17*'4.1 Revenue &amp; Cost Breakdown'!D136)</f>
        <v>0</v>
      </c>
      <c r="F39" s="57">
        <f t="array" ref="F39">_xlfn.IFS($D$29="Low",'2. Control Panel'!$L$15*'4.1 Revenue &amp; Cost Breakdown'!E136,'4. Financial Projection Summary'!$D$29="Moderate",'2. Control Panel'!$L$16*'4.1 Revenue &amp; Cost Breakdown'!E136,'4. Financial Projection Summary'!$D$29="High",'2. Control Panel'!$L$17*'4.1 Revenue &amp; Cost Breakdown'!E136)</f>
        <v>0</v>
      </c>
      <c r="G39" s="57">
        <f t="array" ref="G39">_xlfn.IFS($D$29="Low",'2. Control Panel'!$L$15*'4.1 Revenue &amp; Cost Breakdown'!F136,'4. Financial Projection Summary'!$D$29="Moderate",'2. Control Panel'!$L$16*'4.1 Revenue &amp; Cost Breakdown'!F136,'4. Financial Projection Summary'!$D$29="High",'2. Control Panel'!$L$17*'4.1 Revenue &amp; Cost Breakdown'!F136)</f>
        <v>0</v>
      </c>
      <c r="H39" s="57">
        <f t="array" ref="H39">_xlfn.IFS($D$29="Low",'2. Control Panel'!$L$15*'4.1 Revenue &amp; Cost Breakdown'!G136,'4. Financial Projection Summary'!$D$29="Moderate",'2. Control Panel'!$L$16*'4.1 Revenue &amp; Cost Breakdown'!G136,'4. Financial Projection Summary'!$D$29="High",'2. Control Panel'!$L$17*'4.1 Revenue &amp; Cost Breakdown'!G136)</f>
        <v>0</v>
      </c>
      <c r="I39" s="57">
        <f t="array" ref="I39">_xlfn.IFS($D$29="Low",'2. Control Panel'!$L$15*'4.1 Revenue &amp; Cost Breakdown'!H136,'4. Financial Projection Summary'!$D$29="Moderate",'2. Control Panel'!$L$16*'4.1 Revenue &amp; Cost Breakdown'!H136,'4. Financial Projection Summary'!$D$29="High",'2. Control Panel'!$L$17*'4.1 Revenue &amp; Cost Breakdown'!H136)</f>
        <v>0</v>
      </c>
      <c r="J39" s="57">
        <f t="array" ref="J39">_xlfn.IFS($D$29="Low",'2. Control Panel'!$L$15*'4.1 Revenue &amp; Cost Breakdown'!I136,'4. Financial Projection Summary'!$D$29="Moderate",'2. Control Panel'!$L$16*'4.1 Revenue &amp; Cost Breakdown'!I136,'4. Financial Projection Summary'!$D$29="High",'2. Control Panel'!$L$17*'4.1 Revenue &amp; Cost Breakdown'!I136)</f>
        <v>0</v>
      </c>
      <c r="K39" s="57">
        <f t="array" ref="K39">_xlfn.IFS($D$29="Low",'2. Control Panel'!$L$15*'4.1 Revenue &amp; Cost Breakdown'!J136,'4. Financial Projection Summary'!$D$29="Moderate",'2. Control Panel'!$L$16*'4.1 Revenue &amp; Cost Breakdown'!J136,'4. Financial Projection Summary'!$D$29="High",'2. Control Panel'!$L$17*'4.1 Revenue &amp; Cost Breakdown'!J136)</f>
        <v>0</v>
      </c>
      <c r="L39" s="57">
        <f t="array" ref="L39">_xlfn.IFS($D$29="Low",'2. Control Panel'!$L$15*'4.1 Revenue &amp; Cost Breakdown'!K136,'4. Financial Projection Summary'!$D$29="Moderate",'2. Control Panel'!$L$16*'4.1 Revenue &amp; Cost Breakdown'!K136,'4. Financial Projection Summary'!$D$29="High",'2. Control Panel'!$L$17*'4.1 Revenue &amp; Cost Breakdown'!K136)</f>
        <v>500000</v>
      </c>
      <c r="M39" s="57">
        <f t="array" ref="M39">_xlfn.IFS($D$29="Low",'2. Control Panel'!$L$15*'4.1 Revenue &amp; Cost Breakdown'!L136,'4. Financial Projection Summary'!$D$29="Moderate",'2. Control Panel'!$L$16*'4.1 Revenue &amp; Cost Breakdown'!L136,'4. Financial Projection Summary'!$D$29="High",'2. Control Panel'!$L$17*'4.1 Revenue &amp; Cost Breakdown'!L136)</f>
        <v>500000</v>
      </c>
      <c r="N39" s="57">
        <f t="array" ref="N39">_xlfn.IFS($D$29="Low",'2. Control Panel'!$L$15*'4.1 Revenue &amp; Cost Breakdown'!M136,'4. Financial Projection Summary'!$D$29="Moderate",'2. Control Panel'!$L$16*'4.1 Revenue &amp; Cost Breakdown'!M136,'4. Financial Projection Summary'!$D$29="High",'2. Control Panel'!$L$17*'4.1 Revenue &amp; Cost Breakdown'!M136)</f>
        <v>500000</v>
      </c>
    </row>
    <row r="40" ht="37" customHeight="1" spans="3:14">
      <c r="C40" s="85"/>
      <c r="D40" s="86" t="s">
        <v>293</v>
      </c>
      <c r="E40" s="101">
        <f>SUM(E39)</f>
        <v>0</v>
      </c>
      <c r="F40" s="101">
        <f t="shared" ref="F40:N40" si="4">SUM(F39)</f>
        <v>0</v>
      </c>
      <c r="G40" s="101">
        <f t="shared" si="4"/>
        <v>0</v>
      </c>
      <c r="H40" s="101">
        <f t="shared" si="4"/>
        <v>0</v>
      </c>
      <c r="I40" s="101">
        <f t="shared" si="4"/>
        <v>0</v>
      </c>
      <c r="J40" s="101">
        <f t="shared" si="4"/>
        <v>0</v>
      </c>
      <c r="K40" s="101">
        <f t="shared" si="4"/>
        <v>0</v>
      </c>
      <c r="L40" s="101">
        <f t="shared" si="4"/>
        <v>500000</v>
      </c>
      <c r="M40" s="101">
        <f t="shared" si="4"/>
        <v>500000</v>
      </c>
      <c r="N40" s="101">
        <f t="shared" si="4"/>
        <v>500000</v>
      </c>
    </row>
    <row r="41" ht="37" customHeight="1" spans="3:15">
      <c r="C41" s="93"/>
      <c r="D41" s="94" t="s">
        <v>234</v>
      </c>
      <c r="E41" s="102">
        <f>SUM(E38,E40)</f>
        <v>3025000</v>
      </c>
      <c r="F41" s="102">
        <f t="shared" ref="F41:N41" si="5">SUM(F38,F40)</f>
        <v>3209750</v>
      </c>
      <c r="G41" s="102">
        <f t="shared" si="5"/>
        <v>5358012.5</v>
      </c>
      <c r="H41" s="102">
        <f t="shared" si="5"/>
        <v>5753679.375</v>
      </c>
      <c r="I41" s="102">
        <f t="shared" si="5"/>
        <v>9393933.28125</v>
      </c>
      <c r="J41" s="102">
        <f t="shared" si="5"/>
        <v>10021910.3634375</v>
      </c>
      <c r="K41" s="102">
        <f t="shared" si="5"/>
        <v>10699424.0981531</v>
      </c>
      <c r="L41" s="102">
        <f t="shared" si="5"/>
        <v>11931224.5932921</v>
      </c>
      <c r="M41" s="102">
        <f t="shared" si="5"/>
        <v>12722614.0877402</v>
      </c>
      <c r="N41" s="102">
        <f t="shared" si="5"/>
        <v>13579522.4513336</v>
      </c>
      <c r="O41" s="104"/>
    </row>
    <row r="45" ht="23.2" spans="3:3">
      <c r="C45" s="82" t="s">
        <v>294</v>
      </c>
    </row>
    <row r="47" spans="3:14">
      <c r="C47" s="83" t="s">
        <v>275</v>
      </c>
      <c r="D47" s="83"/>
      <c r="E47" s="20">
        <v>2026</v>
      </c>
      <c r="F47" s="20">
        <v>2027</v>
      </c>
      <c r="G47" s="20">
        <v>2028</v>
      </c>
      <c r="H47" s="20">
        <v>2029</v>
      </c>
      <c r="I47" s="20">
        <v>2030</v>
      </c>
      <c r="J47" s="20">
        <v>2031</v>
      </c>
      <c r="K47" s="20">
        <v>2032</v>
      </c>
      <c r="L47" s="20">
        <v>2033</v>
      </c>
      <c r="M47" s="20">
        <v>2034</v>
      </c>
      <c r="N47" s="20">
        <v>2035</v>
      </c>
    </row>
    <row r="48" ht="31" customHeight="1" spans="3:14">
      <c r="C48" s="38" t="s">
        <v>295</v>
      </c>
      <c r="D48" s="38"/>
      <c r="E48" s="57">
        <f>E24</f>
        <v>0</v>
      </c>
      <c r="F48" s="57">
        <f t="shared" ref="F48:N48" si="6">F24</f>
        <v>3000000</v>
      </c>
      <c r="G48" s="57">
        <f t="shared" si="6"/>
        <v>9000000</v>
      </c>
      <c r="H48" s="57">
        <f t="shared" si="6"/>
        <v>14175000</v>
      </c>
      <c r="I48" s="57">
        <f t="shared" si="6"/>
        <v>22325625</v>
      </c>
      <c r="J48" s="57">
        <f t="shared" si="6"/>
        <v>298898775</v>
      </c>
      <c r="K48" s="57">
        <f t="shared" si="6"/>
        <v>363164095.35</v>
      </c>
      <c r="L48" s="57">
        <f t="shared" si="6"/>
        <v>446485663.110375</v>
      </c>
      <c r="M48" s="57">
        <f t="shared" si="6"/>
        <v>547014979.642359</v>
      </c>
      <c r="N48" s="57">
        <f t="shared" si="6"/>
        <v>677927728.7498</v>
      </c>
    </row>
    <row r="49" ht="31" customHeight="1" spans="3:14">
      <c r="C49" s="92" t="s">
        <v>296</v>
      </c>
      <c r="D49" s="92"/>
      <c r="E49" s="49">
        <f>E41</f>
        <v>3025000</v>
      </c>
      <c r="F49" s="49">
        <f t="shared" ref="F49:N49" si="7">F41</f>
        <v>3209750</v>
      </c>
      <c r="G49" s="49">
        <f t="shared" si="7"/>
        <v>5358012.5</v>
      </c>
      <c r="H49" s="49">
        <f t="shared" si="7"/>
        <v>5753679.375</v>
      </c>
      <c r="I49" s="49">
        <f t="shared" si="7"/>
        <v>9393933.28125</v>
      </c>
      <c r="J49" s="49">
        <f t="shared" si="7"/>
        <v>10021910.3634375</v>
      </c>
      <c r="K49" s="49">
        <f t="shared" si="7"/>
        <v>10699424.0981531</v>
      </c>
      <c r="L49" s="49">
        <f t="shared" si="7"/>
        <v>11931224.5932921</v>
      </c>
      <c r="M49" s="49">
        <f t="shared" si="7"/>
        <v>12722614.0877402</v>
      </c>
      <c r="N49" s="49">
        <f t="shared" si="7"/>
        <v>13579522.4513336</v>
      </c>
    </row>
    <row r="50" ht="31" customHeight="1" spans="3:14">
      <c r="C50" s="95" t="s">
        <v>297</v>
      </c>
      <c r="D50" s="95"/>
      <c r="E50" s="103">
        <f>E48-E49</f>
        <v>-3025000</v>
      </c>
      <c r="F50" s="103">
        <f t="shared" ref="F50:N50" si="8">F48-F49</f>
        <v>-209750</v>
      </c>
      <c r="G50" s="103">
        <f t="shared" si="8"/>
        <v>3641987.5</v>
      </c>
      <c r="H50" s="103">
        <f t="shared" si="8"/>
        <v>8421320.625</v>
      </c>
      <c r="I50" s="103">
        <f t="shared" si="8"/>
        <v>12931691.71875</v>
      </c>
      <c r="J50" s="103">
        <f t="shared" si="8"/>
        <v>288876864.636563</v>
      </c>
      <c r="K50" s="103">
        <f t="shared" si="8"/>
        <v>352464671.251847</v>
      </c>
      <c r="L50" s="103">
        <f t="shared" si="8"/>
        <v>434554438.517083</v>
      </c>
      <c r="M50" s="103">
        <f t="shared" si="8"/>
        <v>534292365.554619</v>
      </c>
      <c r="N50" s="103">
        <f t="shared" si="8"/>
        <v>664348206.298466</v>
      </c>
    </row>
    <row r="51" spans="3:14">
      <c r="C51" s="38"/>
      <c r="D51" s="38"/>
      <c r="E51" s="57"/>
      <c r="F51" s="57"/>
      <c r="G51" s="57"/>
      <c r="H51" s="57"/>
      <c r="I51" s="57"/>
      <c r="J51" s="57"/>
      <c r="K51" s="57"/>
      <c r="L51" s="57"/>
      <c r="M51" s="57"/>
      <c r="N51" s="57"/>
    </row>
  </sheetData>
  <mergeCells count="8">
    <mergeCell ref="D2:H2"/>
    <mergeCell ref="D3:H3"/>
    <mergeCell ref="D4:H4"/>
    <mergeCell ref="D5:H5"/>
    <mergeCell ref="C16:C19"/>
    <mergeCell ref="C20:C23"/>
    <mergeCell ref="C34:C38"/>
    <mergeCell ref="C39:C40"/>
  </mergeCells>
  <dataValidations count="1">
    <dataValidation type="list" allowBlank="1" showInputMessage="1" showErrorMessage="1" sqref="D10 D29">
      <formula1>'1. Instructions &amp; Definitions'!$C$24:$C$26</formula1>
    </dataValidation>
  </dataValidations>
  <pageMargins left="0.7" right="0.7" top="0.75" bottom="0.75" header="0.3" footer="0.3"/>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DCCFF"/>
  </sheetPr>
  <dimension ref="A1:S137"/>
  <sheetViews>
    <sheetView showGridLines="0" zoomScale="66" zoomScaleNormal="66" topLeftCell="A117" workbookViewId="0">
      <selection activeCell="Q137" sqref="Q137"/>
    </sheetView>
  </sheetViews>
  <sheetFormatPr defaultColWidth="8.66071428571429" defaultRowHeight="16.8"/>
  <cols>
    <col min="1" max="1" width="4.5" style="4" customWidth="1"/>
    <col min="2" max="2" width="4.33035714285714" style="4" customWidth="1"/>
    <col min="3" max="3" width="38.6607142857143" style="5" customWidth="1"/>
    <col min="4" max="4" width="21.3303571428571" style="4" customWidth="1"/>
    <col min="5" max="6" width="16.8303571428571" style="4" customWidth="1"/>
    <col min="7" max="7" width="16.8303571428571" style="5" customWidth="1"/>
    <col min="8" max="13" width="16.8303571428571" style="4" customWidth="1"/>
    <col min="14" max="14" width="13.5" style="4" customWidth="1"/>
    <col min="15" max="16384" width="8.66071428571429" style="4"/>
  </cols>
  <sheetData>
    <row r="1" ht="10.5" customHeight="1"/>
    <row r="2" ht="38.5" customHeight="1" spans="2:8">
      <c r="B2" s="6"/>
      <c r="C2" s="7"/>
      <c r="D2" s="8" t="s">
        <v>298</v>
      </c>
      <c r="E2" s="8"/>
      <c r="F2" s="8"/>
      <c r="G2" s="8"/>
      <c r="H2" s="8"/>
    </row>
    <row r="3" ht="16" customHeight="1" spans="4:8">
      <c r="D3" s="9"/>
      <c r="E3" s="9"/>
      <c r="F3" s="9"/>
      <c r="G3" s="9"/>
      <c r="H3" s="9"/>
    </row>
    <row r="4" ht="23.5" customHeight="1" spans="4:8">
      <c r="D4" s="9" t="s">
        <v>299</v>
      </c>
      <c r="E4" s="9"/>
      <c r="F4" s="9"/>
      <c r="G4" s="9"/>
      <c r="H4" s="9"/>
    </row>
    <row r="5" ht="21.5" customHeight="1" spans="4:8">
      <c r="D5" s="9" t="s">
        <v>300</v>
      </c>
      <c r="E5" s="9"/>
      <c r="F5" s="9"/>
      <c r="G5" s="9"/>
      <c r="H5" s="9"/>
    </row>
    <row r="6" ht="21.5" customHeight="1" spans="4:8">
      <c r="D6" s="10" t="s">
        <v>301</v>
      </c>
      <c r="E6" s="9"/>
      <c r="F6" s="9"/>
      <c r="G6" s="9"/>
      <c r="H6" s="9"/>
    </row>
    <row r="7" ht="17.55" spans="1:19">
      <c r="A7" s="11"/>
      <c r="B7" s="11"/>
      <c r="C7" s="12"/>
      <c r="D7" s="11"/>
      <c r="E7" s="11"/>
      <c r="F7" s="11"/>
      <c r="G7" s="12"/>
      <c r="H7" s="11"/>
      <c r="I7" s="11"/>
      <c r="J7" s="11"/>
      <c r="K7" s="11"/>
      <c r="L7" s="11"/>
      <c r="M7" s="11"/>
      <c r="N7" s="11"/>
      <c r="O7" s="11"/>
      <c r="P7" s="11"/>
      <c r="Q7" s="11"/>
      <c r="R7" s="11"/>
      <c r="S7" s="11"/>
    </row>
    <row r="9" ht="24" spans="3:3">
      <c r="C9" s="13" t="s">
        <v>239</v>
      </c>
    </row>
    <row r="10" spans="2:3">
      <c r="B10" s="14">
        <v>1</v>
      </c>
      <c r="C10" s="15" t="s">
        <v>302</v>
      </c>
    </row>
    <row r="11" spans="2:3">
      <c r="B11" s="14">
        <v>2</v>
      </c>
      <c r="C11" s="15" t="s">
        <v>303</v>
      </c>
    </row>
    <row r="12" spans="2:3">
      <c r="B12" s="14">
        <v>3</v>
      </c>
      <c r="C12" s="15" t="s">
        <v>304</v>
      </c>
    </row>
    <row r="13" spans="2:3">
      <c r="B13" s="14">
        <v>4</v>
      </c>
      <c r="C13" s="15" t="s">
        <v>305</v>
      </c>
    </row>
    <row r="14" spans="2:3">
      <c r="B14" s="14">
        <v>5</v>
      </c>
      <c r="C14" s="15" t="s">
        <v>306</v>
      </c>
    </row>
    <row r="15" spans="2:3">
      <c r="B15" s="14">
        <v>6</v>
      </c>
      <c r="C15" s="15" t="s">
        <v>307</v>
      </c>
    </row>
    <row r="16" spans="2:3">
      <c r="B16" s="14">
        <v>7</v>
      </c>
      <c r="C16" s="15" t="s">
        <v>308</v>
      </c>
    </row>
    <row r="17" spans="2:3">
      <c r="B17" s="14">
        <v>8</v>
      </c>
      <c r="C17" s="15" t="s">
        <v>309</v>
      </c>
    </row>
    <row r="18" spans="2:3">
      <c r="B18" s="14">
        <v>9</v>
      </c>
      <c r="C18" s="15" t="s">
        <v>310</v>
      </c>
    </row>
    <row r="19" spans="2:3">
      <c r="B19" s="14">
        <v>10</v>
      </c>
      <c r="C19" s="15" t="s">
        <v>311</v>
      </c>
    </row>
    <row r="20" spans="3:3">
      <c r="C20" s="14"/>
    </row>
    <row r="21" ht="17" spans="3:3">
      <c r="C21" s="16" t="s">
        <v>312</v>
      </c>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ht="24" spans="3:3">
      <c r="C38" s="13" t="s">
        <v>313</v>
      </c>
    </row>
    <row r="39" ht="23.2" spans="3:3">
      <c r="C39" s="13"/>
    </row>
    <row r="40" ht="51" customHeight="1" spans="3:6">
      <c r="C40" s="17" t="s">
        <v>314</v>
      </c>
      <c r="D40" s="18" t="s">
        <v>315</v>
      </c>
      <c r="E40" s="18"/>
      <c r="F40" s="40"/>
    </row>
    <row r="42" ht="28" customHeight="1" spans="3:13">
      <c r="C42" s="19"/>
      <c r="D42" s="20">
        <v>2026</v>
      </c>
      <c r="E42" s="20">
        <v>2027</v>
      </c>
      <c r="F42" s="20">
        <v>2028</v>
      </c>
      <c r="G42" s="20">
        <v>2029</v>
      </c>
      <c r="H42" s="20">
        <v>2030</v>
      </c>
      <c r="I42" s="20">
        <v>2031</v>
      </c>
      <c r="J42" s="20">
        <v>2032</v>
      </c>
      <c r="K42" s="20">
        <v>2033</v>
      </c>
      <c r="L42" s="20">
        <v>2034</v>
      </c>
      <c r="M42" s="20">
        <v>2035</v>
      </c>
    </row>
    <row r="43" ht="28" customHeight="1" spans="3:13">
      <c r="C43" s="21" t="s">
        <v>316</v>
      </c>
      <c r="D43" s="22" t="s">
        <v>317</v>
      </c>
      <c r="E43" s="22">
        <f>'2. Control Panel'!$L$21</f>
        <v>1</v>
      </c>
      <c r="F43" s="22">
        <f>'2. Control Panel'!$L$22</f>
        <v>0.5</v>
      </c>
      <c r="G43" s="22">
        <f>'2. Control Panel'!$L$22</f>
        <v>0.5</v>
      </c>
      <c r="H43" s="22">
        <f>'2. Control Panel'!$L$22</f>
        <v>0.5</v>
      </c>
      <c r="I43" s="22">
        <f>'2. Control Panel'!$L$23</f>
        <v>0.6</v>
      </c>
      <c r="J43" s="22">
        <f>'2. Control Panel'!$L$23</f>
        <v>0.6</v>
      </c>
      <c r="K43" s="22">
        <f>'2. Control Panel'!$L$23</f>
        <v>0.6</v>
      </c>
      <c r="L43" s="22">
        <f>'2. Control Panel'!$L$24</f>
        <v>0.5</v>
      </c>
      <c r="M43" s="22">
        <f>'2. Control Panel'!$L$24</f>
        <v>0.5</v>
      </c>
    </row>
    <row r="44" ht="30" customHeight="1" spans="3:13">
      <c r="C44" s="23" t="s">
        <v>318</v>
      </c>
      <c r="D44" s="24">
        <f>'2. Control Panel'!$L$18</f>
        <v>15</v>
      </c>
      <c r="E44" s="41">
        <f>D44*(1+E43)</f>
        <v>30</v>
      </c>
      <c r="F44" s="41">
        <f>E44*(1+F43)</f>
        <v>45</v>
      </c>
      <c r="G44" s="41">
        <f t="shared" ref="G44:M44" si="0">F44*(1+G43)</f>
        <v>67.5</v>
      </c>
      <c r="H44" s="41">
        <f t="shared" si="0"/>
        <v>101.25</v>
      </c>
      <c r="I44" s="41">
        <f t="shared" si="0"/>
        <v>162</v>
      </c>
      <c r="J44" s="41">
        <f t="shared" si="0"/>
        <v>259.2</v>
      </c>
      <c r="K44" s="41">
        <f t="shared" si="0"/>
        <v>414.72</v>
      </c>
      <c r="L44" s="41">
        <f t="shared" si="0"/>
        <v>622.08</v>
      </c>
      <c r="M44" s="41">
        <f t="shared" si="0"/>
        <v>933.12</v>
      </c>
    </row>
    <row r="45" ht="35" customHeight="1" spans="3:13">
      <c r="C45" s="25" t="s">
        <v>319</v>
      </c>
      <c r="D45" s="26">
        <f>'2. Control Panel'!L18*'2. Control Panel'!L19</f>
        <v>15</v>
      </c>
      <c r="E45" s="27">
        <f>(E44-D44)*'2. Control Panel'!L19</f>
        <v>15</v>
      </c>
      <c r="F45" s="27">
        <f>(F44-E44)*'2. Control Panel'!$L$20</f>
        <v>0</v>
      </c>
      <c r="G45" s="27">
        <f>(G44-F44)*'2. Control Panel'!$L$20</f>
        <v>0</v>
      </c>
      <c r="H45" s="27">
        <f>(H44-G44)*'2. Control Panel'!$L$20</f>
        <v>0</v>
      </c>
      <c r="I45" s="27">
        <f>(I44-H44)*'2. Control Panel'!$L$20</f>
        <v>0</v>
      </c>
      <c r="J45" s="27">
        <f>(J44-I44)*'2. Control Panel'!$L$20</f>
        <v>0</v>
      </c>
      <c r="K45" s="27">
        <f>(K44-J44)*'2. Control Panel'!$L$20</f>
        <v>0</v>
      </c>
      <c r="L45" s="27">
        <f>(L44-K44)*'2. Control Panel'!$L$20</f>
        <v>0</v>
      </c>
      <c r="M45" s="27">
        <f>(M44-L44)*'2. Control Panel'!$L$20</f>
        <v>0</v>
      </c>
    </row>
    <row r="46" ht="28" customHeight="1" spans="3:14">
      <c r="C46" s="25" t="s">
        <v>320</v>
      </c>
      <c r="D46" s="27">
        <f t="shared" ref="D46:E46" si="1">D44-D45</f>
        <v>0</v>
      </c>
      <c r="E46" s="42">
        <f t="shared" si="1"/>
        <v>15</v>
      </c>
      <c r="F46" s="42">
        <f>IF(E44*(1+F43)&gt;'2. Control Panel'!$L$33,'2. Control Panel'!$L$33,'4.1 Revenue &amp; Cost Breakdown'!E44*(1+'4.1 Revenue &amp; Cost Breakdown'!F43))</f>
        <v>45</v>
      </c>
      <c r="G46" s="42">
        <f>IF(F44*(1+G43)&gt;'2. Control Panel'!$L$33,'2. Control Panel'!$L$33,'4.1 Revenue &amp; Cost Breakdown'!F44*(1+'4.1 Revenue &amp; Cost Breakdown'!G43))</f>
        <v>67.5</v>
      </c>
      <c r="H46" s="42">
        <f>IF(G44*(1+H43)&gt;'2. Control Panel'!$L$33,'2. Control Panel'!$L$33,'4.1 Revenue &amp; Cost Breakdown'!G44*(1+'4.1 Revenue &amp; Cost Breakdown'!H43))</f>
        <v>101.25</v>
      </c>
      <c r="I46" s="42">
        <f>IF(H44*(1+I43)&gt;'2. Control Panel'!$L$33,'2. Control Panel'!$L$33,'4.1 Revenue &amp; Cost Breakdown'!H44*(1+'4.1 Revenue &amp; Cost Breakdown'!I43))</f>
        <v>162</v>
      </c>
      <c r="J46" s="42">
        <f>IF(I44*(1+J43)&gt;'2. Control Panel'!$L$33,'2. Control Panel'!$L$33,'4.1 Revenue &amp; Cost Breakdown'!I44*(1+'4.1 Revenue &amp; Cost Breakdown'!J43))</f>
        <v>187</v>
      </c>
      <c r="K46" s="42">
        <f>IF(J44*(1+K43)&gt;'2. Control Panel'!$L$33,'2. Control Panel'!$L$33,'4.1 Revenue &amp; Cost Breakdown'!J44*(1+'4.1 Revenue &amp; Cost Breakdown'!K43))</f>
        <v>187</v>
      </c>
      <c r="L46" s="42">
        <f>IF(K44*(1+L43)&gt;'2. Control Panel'!$L$33,'2. Control Panel'!$L$33,'4.1 Revenue &amp; Cost Breakdown'!K44*(1+'4.1 Revenue &amp; Cost Breakdown'!L43))</f>
        <v>187</v>
      </c>
      <c r="M46" s="42">
        <f>IF(L44*(1+M43)&gt;'2. Control Panel'!$L$33,'2. Control Panel'!$L$33,'4.1 Revenue &amp; Cost Breakdown'!L44*(1+'4.1 Revenue &amp; Cost Breakdown'!M43))</f>
        <v>187</v>
      </c>
      <c r="N46" s="46"/>
    </row>
    <row r="47" ht="28" customHeight="1" spans="3:13">
      <c r="C47" s="25" t="s">
        <v>321</v>
      </c>
      <c r="D47" s="28"/>
      <c r="E47" s="27">
        <f t="array" ref="E47">_xlfn.IFS(E44&lt;='2. Control Panel'!$L$33,0,AND('4.1 Revenue &amp; Cost Breakdown'!E44&gt;'2. Control Panel'!$L$33,'4.1 Revenue &amp; Cost Breakdown'!E44&lt;('2. Control Panel'!$L$33+'2. Control Panel'!$L$34)),'4.1 Revenue &amp; Cost Breakdown'!E44-SUM('4.1 Revenue &amp; Cost Breakdown'!E45:E46),'4.1 Revenue &amp; Cost Breakdown'!E44&gt;('2. Control Panel'!$L$33+'2. Control Panel'!$L$34),'2. Control Panel'!$L$34)</f>
        <v>0</v>
      </c>
      <c r="F47" s="27">
        <f t="array" ref="F47">_xlfn.IFS(F44&lt;='2. Control Panel'!$L$33,0,AND('4.1 Revenue &amp; Cost Breakdown'!F44&gt;'2. Control Panel'!$L$33,'4.1 Revenue &amp; Cost Breakdown'!F44&lt;('2. Control Panel'!$L$33+'2. Control Panel'!$L$34)),'4.1 Revenue &amp; Cost Breakdown'!F44-SUM('4.1 Revenue &amp; Cost Breakdown'!F45:F46),'4.1 Revenue &amp; Cost Breakdown'!F44&gt;('2. Control Panel'!$L$33+'2. Control Panel'!$L$34),'2. Control Panel'!$L$34)</f>
        <v>0</v>
      </c>
      <c r="G47" s="27">
        <f t="array" ref="G47">_xlfn.IFS(G44&lt;='2. Control Panel'!$L$33,0,AND('4.1 Revenue &amp; Cost Breakdown'!G44&gt;'2. Control Panel'!$L$33,'4.1 Revenue &amp; Cost Breakdown'!G44&lt;('2. Control Panel'!$L$33+'2. Control Panel'!$L$34)),'4.1 Revenue &amp; Cost Breakdown'!G44-SUM('4.1 Revenue &amp; Cost Breakdown'!G45:G46),'4.1 Revenue &amp; Cost Breakdown'!G44&gt;('2. Control Panel'!$L$33+'2. Control Panel'!$L$34),'2. Control Panel'!$L$34)</f>
        <v>0</v>
      </c>
      <c r="H47" s="27">
        <f t="array" ref="H47">_xlfn.IFS(H44&lt;='2. Control Panel'!$L$33,0,AND('4.1 Revenue &amp; Cost Breakdown'!H44&gt;'2. Control Panel'!$L$33,'4.1 Revenue &amp; Cost Breakdown'!H44&lt;('2. Control Panel'!$L$33+'2. Control Panel'!$L$34)),'4.1 Revenue &amp; Cost Breakdown'!H44-SUM('4.1 Revenue &amp; Cost Breakdown'!H45:H46),'4.1 Revenue &amp; Cost Breakdown'!H44&gt;('2. Control Panel'!$L$33+'2. Control Panel'!$L$34),'2. Control Panel'!$L$34)</f>
        <v>0</v>
      </c>
      <c r="I47" s="27">
        <f t="array" ref="I47">_xlfn.IFS(I44&lt;='2. Control Panel'!$L$33,0,AND('4.1 Revenue &amp; Cost Breakdown'!I44&gt;'2. Control Panel'!$L$33,'4.1 Revenue &amp; Cost Breakdown'!I44&lt;('2. Control Panel'!$L$33+'2. Control Panel'!$L$34)),'4.1 Revenue &amp; Cost Breakdown'!I44-SUM('4.1 Revenue &amp; Cost Breakdown'!I45:I46),'4.1 Revenue &amp; Cost Breakdown'!I44&gt;('2. Control Panel'!$L$33+'2. Control Panel'!$L$34),'2. Control Panel'!$L$34)</f>
        <v>0</v>
      </c>
      <c r="J47" s="27">
        <f t="array" ref="J47">_xlfn.IFS(J44&lt;='2. Control Panel'!$L$33,0,AND('4.1 Revenue &amp; Cost Breakdown'!J44&gt;'2. Control Panel'!$L$33,'4.1 Revenue &amp; Cost Breakdown'!J44&lt;('2. Control Panel'!$L$33+'2. Control Panel'!$L$34)),'4.1 Revenue &amp; Cost Breakdown'!J44-SUM('4.1 Revenue &amp; Cost Breakdown'!J45:J46),'4.1 Revenue &amp; Cost Breakdown'!J44&gt;('2. Control Panel'!$L$33+'2. Control Panel'!$L$34),'2. Control Panel'!$L$34)</f>
        <v>72.2</v>
      </c>
      <c r="K47" s="27">
        <f t="array" ref="K47">_xlfn.IFS(K44&lt;='2. Control Panel'!$L$33,0,AND('4.1 Revenue &amp; Cost Breakdown'!K44&gt;'2. Control Panel'!$L$33,'4.1 Revenue &amp; Cost Breakdown'!K44&lt;('2. Control Panel'!$L$33+'2. Control Panel'!$L$34)),'4.1 Revenue &amp; Cost Breakdown'!K44-SUM('4.1 Revenue &amp; Cost Breakdown'!K45:K46),'4.1 Revenue &amp; Cost Breakdown'!K44&gt;('2. Control Panel'!$L$33+'2. Control Panel'!$L$34),'2. Control Panel'!$L$34)</f>
        <v>139</v>
      </c>
      <c r="L47" s="27">
        <f t="array" ref="L47">_xlfn.IFS(L44&lt;='2. Control Panel'!$L$33,0,AND('4.1 Revenue &amp; Cost Breakdown'!L44&gt;'2. Control Panel'!$L$33,'4.1 Revenue &amp; Cost Breakdown'!L44&lt;('2. Control Panel'!$L$33+'2. Control Panel'!$L$34)),'4.1 Revenue &amp; Cost Breakdown'!L44-SUM('4.1 Revenue &amp; Cost Breakdown'!L45:L46),'4.1 Revenue &amp; Cost Breakdown'!L44&gt;('2. Control Panel'!$L$33+'2. Control Panel'!$L$34),'2. Control Panel'!$L$34)</f>
        <v>139</v>
      </c>
      <c r="M47" s="27">
        <f t="array" ref="M47">_xlfn.IFS(M44&lt;='2. Control Panel'!$L$33,0,AND('4.1 Revenue &amp; Cost Breakdown'!M44&gt;'2. Control Panel'!$L$33,'4.1 Revenue &amp; Cost Breakdown'!M44&lt;('2. Control Panel'!$L$33+'2. Control Panel'!$L$34)),'4.1 Revenue &amp; Cost Breakdown'!M44-SUM('4.1 Revenue &amp; Cost Breakdown'!M45:M46),'4.1 Revenue &amp; Cost Breakdown'!M44&gt;('2. Control Panel'!$L$33+'2. Control Panel'!$L$34),'2. Control Panel'!$L$34)</f>
        <v>139</v>
      </c>
    </row>
    <row r="48" ht="28" customHeight="1" spans="3:13">
      <c r="C48" s="25" t="s">
        <v>322</v>
      </c>
      <c r="D48" s="28"/>
      <c r="E48" s="27">
        <f t="array" ref="E48">_xlfn.IFS(E44&lt;=('2. Control Panel'!$L$33+'2. Control Panel'!$L$34),0,AND('4.1 Revenue &amp; Cost Breakdown'!E44&gt;('2. Control Panel'!$L$33+'2. Control Panel'!$L$34),'4.1 Revenue &amp; Cost Breakdown'!E44&lt;('2. Control Panel'!$L$33+'2. Control Panel'!$L$34+'2. Control Panel'!$L$35)),'4.1 Revenue &amp; Cost Breakdown'!E44-SUM('4.1 Revenue &amp; Cost Breakdown'!E45:E47),'4.1 Revenue &amp; Cost Breakdown'!E44&gt;('2. Control Panel'!$L$33+'2. Control Panel'!$L$34+'2. Control Panel'!$L$35),'2. Control Panel'!$L$35)</f>
        <v>0</v>
      </c>
      <c r="F48" s="27">
        <f t="array" ref="F48">_xlfn.IFS(F44&lt;=('2. Control Panel'!$L$33+'2. Control Panel'!$L$34),0,AND('4.1 Revenue &amp; Cost Breakdown'!F44&gt;('2. Control Panel'!$L$33+'2. Control Panel'!$L$34),'4.1 Revenue &amp; Cost Breakdown'!F44&lt;('2. Control Panel'!$L$33+'2. Control Panel'!$L$34+'2. Control Panel'!$L$35)),'4.1 Revenue &amp; Cost Breakdown'!F44-SUM('4.1 Revenue &amp; Cost Breakdown'!F45:F47),'4.1 Revenue &amp; Cost Breakdown'!F44&gt;('2. Control Panel'!$L$33+'2. Control Panel'!$L$34+'2. Control Panel'!$L$35),'2. Control Panel'!$L$35)</f>
        <v>0</v>
      </c>
      <c r="G48" s="27">
        <f t="array" ref="G48">_xlfn.IFS(G44&lt;=('2. Control Panel'!$L$33+'2. Control Panel'!$L$34),0,AND('4.1 Revenue &amp; Cost Breakdown'!G44&gt;('2. Control Panel'!$L$33+'2. Control Panel'!$L$34),'4.1 Revenue &amp; Cost Breakdown'!G44&lt;('2. Control Panel'!$L$33+'2. Control Panel'!$L$34+'2. Control Panel'!$L$35)),'4.1 Revenue &amp; Cost Breakdown'!G44-SUM('4.1 Revenue &amp; Cost Breakdown'!G45:G47),'4.1 Revenue &amp; Cost Breakdown'!G44&gt;('2. Control Panel'!$L$33+'2. Control Panel'!$L$34+'2. Control Panel'!$L$35),'2. Control Panel'!$L$35)</f>
        <v>0</v>
      </c>
      <c r="H48" s="27">
        <f t="array" ref="H48">_xlfn.IFS(H44&lt;=('2. Control Panel'!$L$33+'2. Control Panel'!$L$34),0,AND('4.1 Revenue &amp; Cost Breakdown'!H44&gt;('2. Control Panel'!$L$33+'2. Control Panel'!$L$34),'4.1 Revenue &amp; Cost Breakdown'!H44&lt;('2. Control Panel'!$L$33+'2. Control Panel'!$L$34+'2. Control Panel'!$L$35)),'4.1 Revenue &amp; Cost Breakdown'!H44-SUM('4.1 Revenue &amp; Cost Breakdown'!H45:H47),'4.1 Revenue &amp; Cost Breakdown'!H44&gt;('2. Control Panel'!$L$33+'2. Control Panel'!$L$34+'2. Control Panel'!$L$35),'2. Control Panel'!$L$35)</f>
        <v>0</v>
      </c>
      <c r="I48" s="27">
        <f t="array" ref="I48">_xlfn.IFS(I44&lt;=('2. Control Panel'!$L$33+'2. Control Panel'!$L$34),0,AND('4.1 Revenue &amp; Cost Breakdown'!I44&gt;('2. Control Panel'!$L$33+'2. Control Panel'!$L$34),'4.1 Revenue &amp; Cost Breakdown'!I44&lt;('2. Control Panel'!$L$33+'2. Control Panel'!$L$34+'2. Control Panel'!$L$35)),'4.1 Revenue &amp; Cost Breakdown'!I44-SUM('4.1 Revenue &amp; Cost Breakdown'!I45:I47),'4.1 Revenue &amp; Cost Breakdown'!I44&gt;('2. Control Panel'!$L$33+'2. Control Panel'!$L$34+'2. Control Panel'!$L$35),'2. Control Panel'!$L$35)</f>
        <v>0</v>
      </c>
      <c r="J48" s="27">
        <f t="array" ref="J48">_xlfn.IFS(J44&lt;=('2. Control Panel'!$L$33+'2. Control Panel'!$L$34),0,AND('4.1 Revenue &amp; Cost Breakdown'!J44&gt;('2. Control Panel'!$L$33+'2. Control Panel'!$L$34),'4.1 Revenue &amp; Cost Breakdown'!J44&lt;('2. Control Panel'!$L$33+'2. Control Panel'!$L$34+'2. Control Panel'!$L$35)),'4.1 Revenue &amp; Cost Breakdown'!J44-SUM('4.1 Revenue &amp; Cost Breakdown'!J45:J47),'4.1 Revenue &amp; Cost Breakdown'!J44&gt;('2. Control Panel'!$L$33+'2. Control Panel'!$L$34+'2. Control Panel'!$L$35),'2. Control Panel'!$L$35)</f>
        <v>0</v>
      </c>
      <c r="K48" s="27">
        <f t="array" ref="K48">_xlfn.IFS(K44&lt;=('2. Control Panel'!$L$33+'2. Control Panel'!$L$34),0,AND('4.1 Revenue &amp; Cost Breakdown'!K44&gt;('2. Control Panel'!$L$33+'2. Control Panel'!$L$34),'4.1 Revenue &amp; Cost Breakdown'!K44&lt;('2. Control Panel'!$L$33+'2. Control Panel'!$L$34+'2. Control Panel'!$L$35)),'4.1 Revenue &amp; Cost Breakdown'!K44-SUM('4.1 Revenue &amp; Cost Breakdown'!K45:K47),'4.1 Revenue &amp; Cost Breakdown'!K44&gt;('2. Control Panel'!$L$33+'2. Control Panel'!$L$34+'2. Control Panel'!$L$35),'2. Control Panel'!$L$35)</f>
        <v>88.72</v>
      </c>
      <c r="L48" s="27">
        <f t="array" ref="L48">_xlfn.IFS(L44&lt;=('2. Control Panel'!$L$33+'2. Control Panel'!$L$34),0,AND('4.1 Revenue &amp; Cost Breakdown'!L44&gt;('2. Control Panel'!$L$33+'2. Control Panel'!$L$34),'4.1 Revenue &amp; Cost Breakdown'!L44&lt;('2. Control Panel'!$L$33+'2. Control Panel'!$L$34+'2. Control Panel'!$L$35)),'4.1 Revenue &amp; Cost Breakdown'!L44-SUM('4.1 Revenue &amp; Cost Breakdown'!L45:L47),'4.1 Revenue &amp; Cost Breakdown'!L44&gt;('2. Control Panel'!$L$33+'2. Control Panel'!$L$34+'2. Control Panel'!$L$35),'2. Control Panel'!$L$35)</f>
        <v>189</v>
      </c>
      <c r="M48" s="27">
        <f t="array" ref="M48">_xlfn.IFS(M44&lt;=('2. Control Panel'!$L$33+'2. Control Panel'!$L$34),0,AND('4.1 Revenue &amp; Cost Breakdown'!M44&gt;('2. Control Panel'!$L$33+'2. Control Panel'!$L$34),'4.1 Revenue &amp; Cost Breakdown'!M44&lt;('2. Control Panel'!$L$33+'2. Control Panel'!$L$34+'2. Control Panel'!$L$35)),'4.1 Revenue &amp; Cost Breakdown'!M44-SUM('4.1 Revenue &amp; Cost Breakdown'!M45:M47),'4.1 Revenue &amp; Cost Breakdown'!M44&gt;('2. Control Panel'!$L$33+'2. Control Panel'!$L$34+'2. Control Panel'!$L$35),'2. Control Panel'!$L$35)</f>
        <v>189</v>
      </c>
    </row>
    <row r="49" ht="28" customHeight="1" spans="3:17">
      <c r="C49" s="25" t="s">
        <v>323</v>
      </c>
      <c r="D49" s="28"/>
      <c r="E49" s="27">
        <f t="array" ref="E49">_xlfn.IFS(E44&lt;=('2. Control Panel'!$L$33+'2. Control Panel'!$L$34+'2. Control Panel'!$L$35),0,AND('4.1 Revenue &amp; Cost Breakdown'!E44&gt;('2. Control Panel'!$L$33+'2. Control Panel'!$L$34+'2. Control Panel'!$L$35),'4.1 Revenue &amp; Cost Breakdown'!E44&lt;('2. Control Panel'!$L$33+'2. Control Panel'!$L$34+'2. Control Panel'!$L$35+'2. Control Panel'!$L$36)),'4.1 Revenue &amp; Cost Breakdown'!E44-SUM('4.1 Revenue &amp; Cost Breakdown'!E45:E48),'4.1 Revenue &amp; Cost Breakdown'!E44&gt;('2. Control Panel'!$L$33+'2. Control Panel'!$L$34+'2. Control Panel'!$L$35+'2. Control Panel'!$L$36),'2. Control Panel'!$L$36)</f>
        <v>0</v>
      </c>
      <c r="F49" s="27">
        <f t="array" ref="F49">_xlfn.IFS(F44&lt;=('2. Control Panel'!$L$33+'2. Control Panel'!$L$34+'2. Control Panel'!$L$35),0,AND('4.1 Revenue &amp; Cost Breakdown'!F44&gt;('2. Control Panel'!$L$33+'2. Control Panel'!$L$34+'2. Control Panel'!$L$35),'4.1 Revenue &amp; Cost Breakdown'!F44&lt;('2. Control Panel'!$L$33+'2. Control Panel'!$L$34+'2. Control Panel'!$L$35+'2. Control Panel'!$L$36)),'4.1 Revenue &amp; Cost Breakdown'!F44-SUM('4.1 Revenue &amp; Cost Breakdown'!F45:F48),'4.1 Revenue &amp; Cost Breakdown'!F44&gt;('2. Control Panel'!$L$33+'2. Control Panel'!$L$34+'2. Control Panel'!$L$35+'2. Control Panel'!$L$36),'2. Control Panel'!$L$36)</f>
        <v>0</v>
      </c>
      <c r="G49" s="27">
        <f t="array" ref="G49">_xlfn.IFS(G44&lt;=('2. Control Panel'!$L$33+'2. Control Panel'!$L$34+'2. Control Panel'!$L$35),0,AND('4.1 Revenue &amp; Cost Breakdown'!G44&gt;('2. Control Panel'!$L$33+'2. Control Panel'!$L$34+'2. Control Panel'!$L$35),'4.1 Revenue &amp; Cost Breakdown'!G44&lt;('2. Control Panel'!$L$33+'2. Control Panel'!$L$34+'2. Control Panel'!$L$35+'2. Control Panel'!$L$36)),'4.1 Revenue &amp; Cost Breakdown'!G44-SUM('4.1 Revenue &amp; Cost Breakdown'!G45:G48),'4.1 Revenue &amp; Cost Breakdown'!G44&gt;('2. Control Panel'!$L$33+'2. Control Panel'!$L$34+'2. Control Panel'!$L$35+'2. Control Panel'!$L$36),'2. Control Panel'!$L$36)</f>
        <v>0</v>
      </c>
      <c r="H49" s="27">
        <f t="array" ref="H49">_xlfn.IFS(H44&lt;=('2. Control Panel'!$L$33+'2. Control Panel'!$L$34+'2. Control Panel'!$L$35),0,AND('4.1 Revenue &amp; Cost Breakdown'!H44&gt;('2. Control Panel'!$L$33+'2. Control Panel'!$L$34+'2. Control Panel'!$L$35),'4.1 Revenue &amp; Cost Breakdown'!H44&lt;('2. Control Panel'!$L$33+'2. Control Panel'!$L$34+'2. Control Panel'!$L$35+'2. Control Panel'!$L$36)),'4.1 Revenue &amp; Cost Breakdown'!H44-SUM('4.1 Revenue &amp; Cost Breakdown'!H45:H48),'4.1 Revenue &amp; Cost Breakdown'!H44&gt;('2. Control Panel'!$L$33+'2. Control Panel'!$L$34+'2. Control Panel'!$L$35+'2. Control Panel'!$L$36),'2. Control Panel'!$L$36)</f>
        <v>0</v>
      </c>
      <c r="I49" s="27">
        <f t="array" ref="I49">_xlfn.IFS(I44&lt;=('2. Control Panel'!$L$33+'2. Control Panel'!$L$34+'2. Control Panel'!$L$35),0,AND('4.1 Revenue &amp; Cost Breakdown'!I44&gt;('2. Control Panel'!$L$33+'2. Control Panel'!$L$34+'2. Control Panel'!$L$35),'4.1 Revenue &amp; Cost Breakdown'!I44&lt;('2. Control Panel'!$L$33+'2. Control Panel'!$L$34+'2. Control Panel'!$L$35+'2. Control Panel'!$L$36)),'4.1 Revenue &amp; Cost Breakdown'!I44-SUM('4.1 Revenue &amp; Cost Breakdown'!I45:I48),'4.1 Revenue &amp; Cost Breakdown'!I44&gt;('2. Control Panel'!$L$33+'2. Control Panel'!$L$34+'2. Control Panel'!$L$35+'2. Control Panel'!$L$36),'2. Control Panel'!$L$36)</f>
        <v>0</v>
      </c>
      <c r="J49" s="27">
        <f t="array" ref="J49">_xlfn.IFS(J44&lt;=('2. Control Panel'!$L$33+'2. Control Panel'!$L$34+'2. Control Panel'!$L$35),0,AND('4.1 Revenue &amp; Cost Breakdown'!J44&gt;('2. Control Panel'!$L$33+'2. Control Panel'!$L$34+'2. Control Panel'!$L$35),'4.1 Revenue &amp; Cost Breakdown'!J44&lt;('2. Control Panel'!$L$33+'2. Control Panel'!$L$34+'2. Control Panel'!$L$35+'2. Control Panel'!$L$36)),'4.1 Revenue &amp; Cost Breakdown'!J44-SUM('4.1 Revenue &amp; Cost Breakdown'!J45:J48),'4.1 Revenue &amp; Cost Breakdown'!J44&gt;('2. Control Panel'!$L$33+'2. Control Panel'!$L$34+'2. Control Panel'!$L$35+'2. Control Panel'!$L$36),'2. Control Panel'!$L$36)</f>
        <v>0</v>
      </c>
      <c r="K49" s="27">
        <f t="array" ref="K49">_xlfn.IFS(K44&lt;=('2. Control Panel'!$L$33+'2. Control Panel'!$L$34+'2. Control Panel'!$L$35),0,AND('4.1 Revenue &amp; Cost Breakdown'!K44&gt;('2. Control Panel'!$L$33+'2. Control Panel'!$L$34+'2. Control Panel'!$L$35),'4.1 Revenue &amp; Cost Breakdown'!K44&lt;('2. Control Panel'!$L$33+'2. Control Panel'!$L$34+'2. Control Panel'!$L$35+'2. Control Panel'!$L$36)),'4.1 Revenue &amp; Cost Breakdown'!K44-SUM('4.1 Revenue &amp; Cost Breakdown'!K45:K48),'4.1 Revenue &amp; Cost Breakdown'!K44&gt;('2. Control Panel'!$L$33+'2. Control Panel'!$L$34+'2. Control Panel'!$L$35+'2. Control Panel'!$L$36),'2. Control Panel'!$L$36)</f>
        <v>0</v>
      </c>
      <c r="L49" s="27">
        <f t="array" ref="L49">_xlfn.IFS(L44&lt;=('2. Control Panel'!$L$33+'2. Control Panel'!$L$34+'2. Control Panel'!$L$35),0,AND('4.1 Revenue &amp; Cost Breakdown'!L44&gt;('2. Control Panel'!$L$33+'2. Control Panel'!$L$34+'2. Control Panel'!$L$35),'4.1 Revenue &amp; Cost Breakdown'!L44&lt;('2. Control Panel'!$L$33+'2. Control Panel'!$L$34+'2. Control Panel'!$L$35+'2. Control Panel'!$L$36)),'4.1 Revenue &amp; Cost Breakdown'!L44-SUM('4.1 Revenue &amp; Cost Breakdown'!L45:L48),'4.1 Revenue &amp; Cost Breakdown'!L44&gt;('2. Control Panel'!$L$33+'2. Control Panel'!$L$34+'2. Control Panel'!$L$35+'2. Control Panel'!$L$36),'2. Control Panel'!$L$36)</f>
        <v>107.08</v>
      </c>
      <c r="M49" s="27">
        <f t="array" ref="M49">_xlfn.IFS(M44&lt;=('2. Control Panel'!$L$33+'2. Control Panel'!$L$34+'2. Control Panel'!$L$35),0,AND('4.1 Revenue &amp; Cost Breakdown'!M44&gt;('2. Control Panel'!$L$33+'2. Control Panel'!$L$34+'2. Control Panel'!$L$35),'4.1 Revenue &amp; Cost Breakdown'!M44&lt;('2. Control Panel'!$L$33+'2. Control Panel'!$L$34+'2. Control Panel'!$L$35+'2. Control Panel'!$L$36)),'4.1 Revenue &amp; Cost Breakdown'!M44-SUM('4.1 Revenue &amp; Cost Breakdown'!M45:M48),'4.1 Revenue &amp; Cost Breakdown'!M44&gt;('2. Control Panel'!$L$33+'2. Control Panel'!$L$34+'2. Control Panel'!$L$35+'2. Control Panel'!$L$36),'2. Control Panel'!$L$36)</f>
        <v>418.12</v>
      </c>
      <c r="Q49" s="46"/>
    </row>
    <row r="50" s="3" customFormat="1" ht="34" customHeight="1" spans="3:15">
      <c r="C50" s="29" t="s">
        <v>324</v>
      </c>
      <c r="D50" s="30"/>
      <c r="E50" s="43">
        <f t="array" ref="E50">_xlfn.IFS(E44&lt;=('2. Control Panel'!$L$33+'2. Control Panel'!$L$34+'2. Control Panel'!$L$35+'2. Control Panel'!$L$36),0,AND('4.1 Revenue &amp; Cost Breakdown'!E44&gt;('2. Control Panel'!$L$33+'2. Control Panel'!$L$34+'2. Control Panel'!$L$35+'2. Control Panel'!$L$36),'4.1 Revenue &amp; Cost Breakdown'!E44&lt;('2. Control Panel'!$L$33+'2. Control Panel'!$L$34+'2. Control Panel'!$L$35+'2. Control Panel'!$L$36+'2. Control Panel'!$L$37)),'4.1 Revenue &amp; Cost Breakdown'!E44-SUM('4.1 Revenue &amp; Cost Breakdown'!E45:E49),'4.1 Revenue &amp; Cost Breakdown'!E44&gt;('2. Control Panel'!$L$33+'2. Control Panel'!$L$34+'2. Control Panel'!$L$35+'2. Control Panel'!$L$36+'2. Control Panel'!$L$37),'2. Control Panel'!$L$37)</f>
        <v>0</v>
      </c>
      <c r="F50" s="43">
        <f t="array" ref="F50">_xlfn.IFS(F44&lt;=('2. Control Panel'!$L$33+'2. Control Panel'!$L$34+'2. Control Panel'!$L$35+'2. Control Panel'!$L$36),0,AND('4.1 Revenue &amp; Cost Breakdown'!F44&gt;('2. Control Panel'!$L$33+'2. Control Panel'!$L$34+'2. Control Panel'!$L$35+'2. Control Panel'!$L$36),'4.1 Revenue &amp; Cost Breakdown'!F44&lt;('2. Control Panel'!$L$33+'2. Control Panel'!$L$34+'2. Control Panel'!$L$35+'2. Control Panel'!$L$36+'2. Control Panel'!$L$37)),'4.1 Revenue &amp; Cost Breakdown'!F44-SUM('4.1 Revenue &amp; Cost Breakdown'!F45:F49),'4.1 Revenue &amp; Cost Breakdown'!F44&gt;('2. Control Panel'!$L$33+'2. Control Panel'!$L$34+'2. Control Panel'!$L$35+'2. Control Panel'!$L$36+'2. Control Panel'!$L$37),'2. Control Panel'!$L$37)</f>
        <v>0</v>
      </c>
      <c r="G50" s="43">
        <f t="array" ref="G50">_xlfn.IFS(G44&lt;=('2. Control Panel'!$L$33+'2. Control Panel'!$L$34+'2. Control Panel'!$L$35+'2. Control Panel'!$L$36),0,AND('4.1 Revenue &amp; Cost Breakdown'!G44&gt;('2. Control Panel'!$L$33+'2. Control Panel'!$L$34+'2. Control Panel'!$L$35+'2. Control Panel'!$L$36),'4.1 Revenue &amp; Cost Breakdown'!G44&lt;('2. Control Panel'!$L$33+'2. Control Panel'!$L$34+'2. Control Panel'!$L$35+'2. Control Panel'!$L$36+'2. Control Panel'!$L$37)),'4.1 Revenue &amp; Cost Breakdown'!G44-SUM('4.1 Revenue &amp; Cost Breakdown'!G45:G49),'4.1 Revenue &amp; Cost Breakdown'!G44&gt;('2. Control Panel'!$L$33+'2. Control Panel'!$L$34+'2. Control Panel'!$L$35+'2. Control Panel'!$L$36+'2. Control Panel'!$L$37),'2. Control Panel'!$L$37)</f>
        <v>0</v>
      </c>
      <c r="H50" s="43">
        <f t="array" ref="H50">_xlfn.IFS(H44&lt;=('2. Control Panel'!$L$33+'2. Control Panel'!$L$34+'2. Control Panel'!$L$35+'2. Control Panel'!$L$36),0,AND('4.1 Revenue &amp; Cost Breakdown'!H44&gt;('2. Control Panel'!$L$33+'2. Control Panel'!$L$34+'2. Control Panel'!$L$35+'2. Control Panel'!$L$36),'4.1 Revenue &amp; Cost Breakdown'!H44&lt;('2. Control Panel'!$L$33+'2. Control Panel'!$L$34+'2. Control Panel'!$L$35+'2. Control Panel'!$L$36+'2. Control Panel'!$L$37)),'4.1 Revenue &amp; Cost Breakdown'!H44-SUM('4.1 Revenue &amp; Cost Breakdown'!H45:H49),'4.1 Revenue &amp; Cost Breakdown'!H44&gt;('2. Control Panel'!$L$33+'2. Control Panel'!$L$34+'2. Control Panel'!$L$35+'2. Control Panel'!$L$36+'2. Control Panel'!$L$37),'2. Control Panel'!$L$37)</f>
        <v>0</v>
      </c>
      <c r="I50" s="43">
        <f t="array" ref="I50">_xlfn.IFS(I44&lt;=('2. Control Panel'!$L$33+'2. Control Panel'!$L$34+'2. Control Panel'!$L$35+'2. Control Panel'!$L$36),0,AND('4.1 Revenue &amp; Cost Breakdown'!I44&gt;('2. Control Panel'!$L$33+'2. Control Panel'!$L$34+'2. Control Panel'!$L$35+'2. Control Panel'!$L$36),'4.1 Revenue &amp; Cost Breakdown'!I44&lt;('2. Control Panel'!$L$33+'2. Control Panel'!$L$34+'2. Control Panel'!$L$35+'2. Control Panel'!$L$36+'2. Control Panel'!$L$37)),'4.1 Revenue &amp; Cost Breakdown'!I44-SUM('4.1 Revenue &amp; Cost Breakdown'!I45:I49),'4.1 Revenue &amp; Cost Breakdown'!I44&gt;('2. Control Panel'!$L$33+'2. Control Panel'!$L$34+'2. Control Panel'!$L$35+'2. Control Panel'!$L$36+'2. Control Panel'!$L$37),'2. Control Panel'!$L$37)</f>
        <v>0</v>
      </c>
      <c r="J50" s="43">
        <f t="array" ref="J50">_xlfn.IFS(J44&lt;=('2. Control Panel'!$L$33+'2. Control Panel'!$L$34+'2. Control Panel'!$L$35+'2. Control Panel'!$L$36),0,AND('4.1 Revenue &amp; Cost Breakdown'!J44&gt;('2. Control Panel'!$L$33+'2. Control Panel'!$L$34+'2. Control Panel'!$L$35+'2. Control Panel'!$L$36),'4.1 Revenue &amp; Cost Breakdown'!J44&lt;('2. Control Panel'!$L$33+'2. Control Panel'!$L$34+'2. Control Panel'!$L$35+'2. Control Panel'!$L$36+'2. Control Panel'!$L$37)),'4.1 Revenue &amp; Cost Breakdown'!J44-SUM('4.1 Revenue &amp; Cost Breakdown'!J45:J49),'4.1 Revenue &amp; Cost Breakdown'!J44&gt;('2. Control Panel'!$L$33+'2. Control Panel'!$L$34+'2. Control Panel'!$L$35+'2. Control Panel'!$L$36+'2. Control Panel'!$L$37),'2. Control Panel'!$L$37)</f>
        <v>0</v>
      </c>
      <c r="K50" s="43">
        <f t="array" ref="K50">_xlfn.IFS(K44&lt;=('2. Control Panel'!$L$33+'2. Control Panel'!$L$34+'2. Control Panel'!$L$35+'2. Control Panel'!$L$36),0,AND('4.1 Revenue &amp; Cost Breakdown'!K44&gt;('2. Control Panel'!$L$33+'2. Control Panel'!$L$34+'2. Control Panel'!$L$35+'2. Control Panel'!$L$36),'4.1 Revenue &amp; Cost Breakdown'!K44&lt;('2. Control Panel'!$L$33+'2. Control Panel'!$L$34+'2. Control Panel'!$L$35+'2. Control Panel'!$L$36+'2. Control Panel'!$L$37)),'4.1 Revenue &amp; Cost Breakdown'!K44-SUM('4.1 Revenue &amp; Cost Breakdown'!K45:K49),'4.1 Revenue &amp; Cost Breakdown'!K44&gt;('2. Control Panel'!$L$33+'2. Control Panel'!$L$34+'2. Control Panel'!$L$35+'2. Control Panel'!$L$36+'2. Control Panel'!$L$37),'2. Control Panel'!$L$37)</f>
        <v>0</v>
      </c>
      <c r="L50" s="43">
        <f t="array" ref="L50">_xlfn.IFS(L44&lt;=('2. Control Panel'!$L$33+'2. Control Panel'!$L$34+'2. Control Panel'!$L$35+'2. Control Panel'!$L$36),0,AND('4.1 Revenue &amp; Cost Breakdown'!L44&gt;('2. Control Panel'!$L$33+'2. Control Panel'!$L$34+'2. Control Panel'!$L$35+'2. Control Panel'!$L$36),'4.1 Revenue &amp; Cost Breakdown'!L44&lt;('2. Control Panel'!$L$33+'2. Control Panel'!$L$34+'2. Control Panel'!$L$35+'2. Control Panel'!$L$36+'2. Control Panel'!$L$37)),'4.1 Revenue &amp; Cost Breakdown'!L44-SUM('4.1 Revenue &amp; Cost Breakdown'!L45:L49),'4.1 Revenue &amp; Cost Breakdown'!L44&gt;('2. Control Panel'!$L$33+'2. Control Panel'!$L$34+'2. Control Panel'!$L$35+'2. Control Panel'!$L$36+'2. Control Panel'!$L$37),'2. Control Panel'!$L$37)</f>
        <v>0</v>
      </c>
      <c r="M50" s="43">
        <f t="array" ref="M50">_xlfn.IFS(M44&lt;=('2. Control Panel'!$L$33+'2. Control Panel'!$L$34+'2. Control Panel'!$L$35+'2. Control Panel'!$L$36),0,AND('4.1 Revenue &amp; Cost Breakdown'!M44&gt;('2. Control Panel'!$L$33+'2. Control Panel'!$L$34+'2. Control Panel'!$L$35+'2. Control Panel'!$L$36),'4.1 Revenue &amp; Cost Breakdown'!M44&lt;('2. Control Panel'!$L$33+'2. Control Panel'!$L$34+'2. Control Panel'!$L$35+'2. Control Panel'!$L$36+'2. Control Panel'!$L$37)),'4.1 Revenue &amp; Cost Breakdown'!M44-SUM('4.1 Revenue &amp; Cost Breakdown'!M45:M49),'4.1 Revenue &amp; Cost Breakdown'!M44&gt;('2. Control Panel'!$L$33+'2. Control Panel'!$L$34+'2. Control Panel'!$L$35+'2. Control Panel'!$L$36+'2. Control Panel'!$L$37),'2. Control Panel'!$L$37)</f>
        <v>0</v>
      </c>
      <c r="O50" s="47"/>
    </row>
    <row r="51" s="3" customFormat="1" ht="26" customHeight="1" spans="3:13">
      <c r="C51" s="21" t="s">
        <v>325</v>
      </c>
      <c r="D51" s="22">
        <f>'2. Control Panel'!$L$31</f>
        <v>0</v>
      </c>
      <c r="E51" s="22">
        <f>'2. Control Panel'!$L$31</f>
        <v>0</v>
      </c>
      <c r="F51" s="22">
        <f>'2. Control Panel'!$L$31</f>
        <v>0</v>
      </c>
      <c r="G51" s="22">
        <f>'2. Control Panel'!$L$32</f>
        <v>0.05</v>
      </c>
      <c r="H51" s="22">
        <f>'2. Control Panel'!$L$32</f>
        <v>0.05</v>
      </c>
      <c r="I51" s="22">
        <f>'2. Control Panel'!$L$32</f>
        <v>0.05</v>
      </c>
      <c r="J51" s="22">
        <f>'2. Control Panel'!$L$32</f>
        <v>0.05</v>
      </c>
      <c r="K51" s="22">
        <f>'2. Control Panel'!$L$32</f>
        <v>0.05</v>
      </c>
      <c r="L51" s="22">
        <f>'2. Control Panel'!$L$32</f>
        <v>0.05</v>
      </c>
      <c r="M51" s="22">
        <f>'2. Control Panel'!$L$32</f>
        <v>0.05</v>
      </c>
    </row>
    <row r="52" s="3" customFormat="1" ht="26" customHeight="1" spans="3:13">
      <c r="C52" s="31" t="s">
        <v>326</v>
      </c>
      <c r="D52" s="32">
        <f>'2. Control Panel'!$L26*(1+$D$51)</f>
        <v>200000</v>
      </c>
      <c r="E52" s="32">
        <f>'2. Control Panel'!$L26*(1+$D$51)</f>
        <v>200000</v>
      </c>
      <c r="F52" s="32">
        <f>'2. Control Panel'!$L26*(1+$D$51)</f>
        <v>200000</v>
      </c>
      <c r="G52" s="32">
        <f>F52*(1+G$51)</f>
        <v>210000</v>
      </c>
      <c r="H52" s="32">
        <f t="shared" ref="H52:M52" si="2">G52*(1+H51)</f>
        <v>220500</v>
      </c>
      <c r="I52" s="32">
        <f t="shared" si="2"/>
        <v>231525</v>
      </c>
      <c r="J52" s="32">
        <f t="shared" si="2"/>
        <v>243101.25</v>
      </c>
      <c r="K52" s="32">
        <f t="shared" si="2"/>
        <v>255256.3125</v>
      </c>
      <c r="L52" s="32">
        <f t="shared" si="2"/>
        <v>268019.128125</v>
      </c>
      <c r="M52" s="32">
        <f t="shared" si="2"/>
        <v>281420.08453125</v>
      </c>
    </row>
    <row r="53" s="3" customFormat="1" ht="26" customHeight="1" spans="3:13">
      <c r="C53" s="31" t="s">
        <v>327</v>
      </c>
      <c r="D53" s="32">
        <f>'2. Control Panel'!$L27*(1+$D$51)</f>
        <v>180000</v>
      </c>
      <c r="E53" s="32">
        <f>'2. Control Panel'!$L27*(1+$D$51)</f>
        <v>180000</v>
      </c>
      <c r="F53" s="32">
        <f>'2. Control Panel'!$L27*(1+$D$51)</f>
        <v>180000</v>
      </c>
      <c r="G53" s="32">
        <f>F53*(1+G$51)</f>
        <v>189000</v>
      </c>
      <c r="H53" s="32">
        <f t="shared" ref="H53:M53" si="3">G53*(1+H$51)</f>
        <v>198450</v>
      </c>
      <c r="I53" s="32">
        <f t="shared" si="3"/>
        <v>208372.5</v>
      </c>
      <c r="J53" s="32">
        <f t="shared" si="3"/>
        <v>218791.125</v>
      </c>
      <c r="K53" s="32">
        <f t="shared" si="3"/>
        <v>229730.68125</v>
      </c>
      <c r="L53" s="32">
        <f t="shared" si="3"/>
        <v>241217.2153125</v>
      </c>
      <c r="M53" s="32">
        <f t="shared" si="3"/>
        <v>253278.076078125</v>
      </c>
    </row>
    <row r="54" s="3" customFormat="1" ht="26" customHeight="1" spans="3:13">
      <c r="C54" s="31" t="s">
        <v>328</v>
      </c>
      <c r="D54" s="32">
        <f>'2. Control Panel'!$L28*(1+$D$51)</f>
        <v>160000</v>
      </c>
      <c r="E54" s="32">
        <f>'2. Control Panel'!$L28*(1+$D$51)</f>
        <v>160000</v>
      </c>
      <c r="F54" s="32">
        <f>'2. Control Panel'!$L28*(1+$D$51)</f>
        <v>160000</v>
      </c>
      <c r="G54" s="32">
        <f t="shared" ref="G54:M56" si="4">F54*(1+G$51)</f>
        <v>168000</v>
      </c>
      <c r="H54" s="32">
        <f t="shared" si="4"/>
        <v>176400</v>
      </c>
      <c r="I54" s="32">
        <f t="shared" si="4"/>
        <v>185220</v>
      </c>
      <c r="J54" s="32">
        <f t="shared" si="4"/>
        <v>194481</v>
      </c>
      <c r="K54" s="32">
        <f t="shared" si="4"/>
        <v>204205.05</v>
      </c>
      <c r="L54" s="32">
        <f t="shared" si="4"/>
        <v>214415.3025</v>
      </c>
      <c r="M54" s="32">
        <f t="shared" si="4"/>
        <v>225136.067625</v>
      </c>
    </row>
    <row r="55" s="3" customFormat="1" ht="38" customHeight="1" spans="3:13">
      <c r="C55" s="31" t="s">
        <v>329</v>
      </c>
      <c r="D55" s="32">
        <f>'2. Control Panel'!$L29*(1+$D$51)</f>
        <v>140000</v>
      </c>
      <c r="E55" s="32">
        <f>'2. Control Panel'!$L29*(1+$D$51)</f>
        <v>140000</v>
      </c>
      <c r="F55" s="32">
        <f>'2. Control Panel'!$L29*(1+$D$51)</f>
        <v>140000</v>
      </c>
      <c r="G55" s="32">
        <f t="shared" si="4"/>
        <v>147000</v>
      </c>
      <c r="H55" s="32">
        <f t="shared" si="4"/>
        <v>154350</v>
      </c>
      <c r="I55" s="32">
        <f t="shared" si="4"/>
        <v>162067.5</v>
      </c>
      <c r="J55" s="32">
        <f t="shared" si="4"/>
        <v>170170.875</v>
      </c>
      <c r="K55" s="32">
        <f t="shared" si="4"/>
        <v>178679.41875</v>
      </c>
      <c r="L55" s="32">
        <f t="shared" si="4"/>
        <v>187613.3896875</v>
      </c>
      <c r="M55" s="32">
        <f t="shared" si="4"/>
        <v>196994.059171875</v>
      </c>
    </row>
    <row r="56" ht="38" customHeight="1" spans="3:13">
      <c r="C56" s="33" t="s">
        <v>330</v>
      </c>
      <c r="D56" s="34">
        <f>'2. Control Panel'!$L30*(1+$D$51)</f>
        <v>120000</v>
      </c>
      <c r="E56" s="34">
        <f>'2. Control Panel'!$L30*(1+$D$51)</f>
        <v>120000</v>
      </c>
      <c r="F56" s="34">
        <f>'2. Control Panel'!$L30*(1+$D$51)</f>
        <v>120000</v>
      </c>
      <c r="G56" s="34">
        <f t="shared" si="4"/>
        <v>126000</v>
      </c>
      <c r="H56" s="34">
        <f t="shared" si="4"/>
        <v>132300</v>
      </c>
      <c r="I56" s="34">
        <f t="shared" si="4"/>
        <v>138915</v>
      </c>
      <c r="J56" s="34">
        <f t="shared" si="4"/>
        <v>145860.75</v>
      </c>
      <c r="K56" s="34">
        <f t="shared" si="4"/>
        <v>153153.7875</v>
      </c>
      <c r="L56" s="34">
        <f t="shared" si="4"/>
        <v>160811.476875</v>
      </c>
      <c r="M56" s="34">
        <f t="shared" si="4"/>
        <v>168852.05071875</v>
      </c>
    </row>
    <row r="57" ht="26" customHeight="1" spans="3:13">
      <c r="C57" s="35" t="s">
        <v>313</v>
      </c>
      <c r="D57" s="36">
        <f>(D46*D52)+(D47*D53)+(D48*D54)+(D49*D55)+(D50*D56)</f>
        <v>0</v>
      </c>
      <c r="E57" s="36">
        <f t="shared" ref="E57:M57" si="5">(E46*E52)+(E47*E53)+(E48*E54)+(E49*E55)+(E50*E56)</f>
        <v>3000000</v>
      </c>
      <c r="F57" s="36">
        <f t="shared" si="5"/>
        <v>9000000</v>
      </c>
      <c r="G57" s="36">
        <f t="shared" si="5"/>
        <v>14175000</v>
      </c>
      <c r="H57" s="36">
        <f t="shared" si="5"/>
        <v>22325625</v>
      </c>
      <c r="I57" s="36">
        <f t="shared" si="5"/>
        <v>37507050</v>
      </c>
      <c r="J57" s="36">
        <f t="shared" si="5"/>
        <v>61256652.975</v>
      </c>
      <c r="K57" s="36">
        <f t="shared" si="5"/>
        <v>97782567.16725</v>
      </c>
      <c r="L57" s="36">
        <f t="shared" si="5"/>
        <v>144262903.82805</v>
      </c>
      <c r="M57" s="36">
        <f t="shared" si="5"/>
        <v>212749081.184273</v>
      </c>
    </row>
    <row r="58" spans="6:7">
      <c r="F58" s="5"/>
      <c r="G58" s="4"/>
    </row>
    <row r="59" spans="6:7">
      <c r="F59" s="5"/>
      <c r="G59" s="4"/>
    </row>
    <row r="60" ht="18" spans="3:14">
      <c r="C60" s="37" t="s">
        <v>331</v>
      </c>
      <c r="D60" s="3"/>
      <c r="E60" s="3"/>
      <c r="F60" s="3"/>
      <c r="G60" s="38"/>
      <c r="H60" s="3"/>
      <c r="I60" s="3"/>
      <c r="J60" s="3"/>
      <c r="K60" s="3"/>
      <c r="L60" s="3"/>
      <c r="M60" s="3"/>
      <c r="N60" s="3"/>
    </row>
    <row r="61" spans="3:14">
      <c r="C61" s="38"/>
      <c r="D61" s="3"/>
      <c r="E61" s="3"/>
      <c r="F61" s="3"/>
      <c r="G61" s="38"/>
      <c r="H61" s="3"/>
      <c r="I61" s="3"/>
      <c r="J61" s="3"/>
      <c r="K61" s="3"/>
      <c r="L61" s="3"/>
      <c r="M61" s="3"/>
      <c r="N61" s="3"/>
    </row>
    <row r="62" spans="3:14">
      <c r="C62" s="19"/>
      <c r="D62" s="20">
        <v>2026</v>
      </c>
      <c r="E62" s="20">
        <v>2027</v>
      </c>
      <c r="F62" s="20">
        <v>2028</v>
      </c>
      <c r="G62" s="20">
        <v>2029</v>
      </c>
      <c r="H62" s="20">
        <v>2030</v>
      </c>
      <c r="I62" s="20">
        <v>2031</v>
      </c>
      <c r="J62" s="20">
        <v>2032</v>
      </c>
      <c r="K62" s="20">
        <v>2033</v>
      </c>
      <c r="L62" s="20">
        <v>2034</v>
      </c>
      <c r="M62" s="20">
        <v>2035</v>
      </c>
      <c r="N62" s="3"/>
    </row>
    <row r="63" ht="25" customHeight="1" spans="3:14">
      <c r="C63" s="21" t="s">
        <v>332</v>
      </c>
      <c r="D63" s="22" t="s">
        <v>317</v>
      </c>
      <c r="E63" s="44">
        <f>'2. Control Panel'!$L$12</f>
        <v>0.1</v>
      </c>
      <c r="F63" s="44">
        <f>'2. Control Panel'!$L$12</f>
        <v>0.1</v>
      </c>
      <c r="G63" s="44">
        <f>'2. Control Panel'!$L$12</f>
        <v>0.1</v>
      </c>
      <c r="H63" s="44">
        <f>'2. Control Panel'!$L$12</f>
        <v>0.1</v>
      </c>
      <c r="I63" s="44">
        <f>'2. Control Panel'!$L$12</f>
        <v>0.1</v>
      </c>
      <c r="J63" s="44">
        <f>'2. Control Panel'!$L$12</f>
        <v>0.1</v>
      </c>
      <c r="K63" s="44">
        <f>'2. Control Panel'!$L$12</f>
        <v>0.1</v>
      </c>
      <c r="L63" s="44">
        <f>'2. Control Panel'!$L$12</f>
        <v>0.1</v>
      </c>
      <c r="M63" s="44">
        <f>'2. Control Panel'!$L$12</f>
        <v>0.1</v>
      </c>
      <c r="N63" s="3"/>
    </row>
    <row r="64" ht="25" customHeight="1" spans="3:14">
      <c r="C64" s="25" t="s">
        <v>333</v>
      </c>
      <c r="D64" s="39">
        <f>'2. Control Panel'!$L$38</f>
        <v>0</v>
      </c>
      <c r="E64" s="39">
        <f>D64*(1+E63)</f>
        <v>0</v>
      </c>
      <c r="F64" s="39">
        <f t="shared" ref="F64:H64" si="6">E64*(1+F63)</f>
        <v>0</v>
      </c>
      <c r="G64" s="39">
        <f t="shared" si="6"/>
        <v>0</v>
      </c>
      <c r="H64" s="39">
        <f t="shared" si="6"/>
        <v>0</v>
      </c>
      <c r="I64" s="45">
        <f>IF($H64=0,'2. Control Panel'!L39,H64*(1+I63))</f>
        <v>3000</v>
      </c>
      <c r="J64" s="45">
        <f>I64*(1+J63)</f>
        <v>3300</v>
      </c>
      <c r="K64" s="45">
        <f t="shared" ref="K64:M64" si="7">J64*(1+K63)</f>
        <v>3630</v>
      </c>
      <c r="L64" s="45">
        <f t="shared" si="7"/>
        <v>3993</v>
      </c>
      <c r="M64" s="45">
        <f t="shared" si="7"/>
        <v>4392.3</v>
      </c>
      <c r="N64" s="3"/>
    </row>
    <row r="65" ht="25" customHeight="1" spans="3:14">
      <c r="C65" s="21" t="s">
        <v>325</v>
      </c>
      <c r="D65" s="22">
        <f>'2. Control Panel'!$L$13</f>
        <v>0</v>
      </c>
      <c r="E65" s="22">
        <f>'2. Control Panel'!$L$13</f>
        <v>0</v>
      </c>
      <c r="F65" s="22">
        <f>'2. Control Panel'!$L$13</f>
        <v>0</v>
      </c>
      <c r="G65" s="59">
        <f>'2. Control Panel'!$L$14</f>
        <v>0.05</v>
      </c>
      <c r="H65" s="59">
        <f>'2. Control Panel'!$L$14</f>
        <v>0.05</v>
      </c>
      <c r="I65" s="59">
        <f>'2. Control Panel'!$L$14</f>
        <v>0.05</v>
      </c>
      <c r="J65" s="59">
        <f>'2. Control Panel'!$L$14</f>
        <v>0.05</v>
      </c>
      <c r="K65" s="59">
        <f>'2. Control Panel'!$L$14</f>
        <v>0.05</v>
      </c>
      <c r="L65" s="59">
        <f>'2. Control Panel'!$L$14</f>
        <v>0.05</v>
      </c>
      <c r="M65" s="59">
        <f>'2. Control Panel'!$L$14</f>
        <v>0.05</v>
      </c>
      <c r="N65" s="3"/>
    </row>
    <row r="66" ht="25" customHeight="1" spans="3:14">
      <c r="C66" s="48" t="s">
        <v>334</v>
      </c>
      <c r="D66" s="49">
        <f>'2. Control Panel'!L40</f>
        <v>50000</v>
      </c>
      <c r="E66" s="60">
        <f>D66*(1+E65)</f>
        <v>50000</v>
      </c>
      <c r="F66" s="60">
        <f t="shared" ref="F66:M66" si="8">E66*(1+F65)</f>
        <v>50000</v>
      </c>
      <c r="G66" s="60">
        <f t="shared" si="8"/>
        <v>52500</v>
      </c>
      <c r="H66" s="60">
        <f t="shared" si="8"/>
        <v>55125</v>
      </c>
      <c r="I66" s="60">
        <f t="shared" si="8"/>
        <v>57881.25</v>
      </c>
      <c r="J66" s="60">
        <f t="shared" si="8"/>
        <v>60775.3125</v>
      </c>
      <c r="K66" s="60">
        <f t="shared" si="8"/>
        <v>63814.078125</v>
      </c>
      <c r="L66" s="60">
        <f t="shared" si="8"/>
        <v>67004.78203125</v>
      </c>
      <c r="M66" s="60">
        <f t="shared" si="8"/>
        <v>70355.0211328125</v>
      </c>
      <c r="N66" s="3"/>
    </row>
    <row r="67" ht="32" customHeight="1" spans="3:14">
      <c r="C67" s="35" t="s">
        <v>313</v>
      </c>
      <c r="D67" s="36">
        <f>D64*D66</f>
        <v>0</v>
      </c>
      <c r="E67" s="36">
        <f t="shared" ref="E67:M67" si="9">E64*E66</f>
        <v>0</v>
      </c>
      <c r="F67" s="36">
        <f t="shared" si="9"/>
        <v>0</v>
      </c>
      <c r="G67" s="36">
        <f t="shared" si="9"/>
        <v>0</v>
      </c>
      <c r="H67" s="36">
        <f t="shared" si="9"/>
        <v>0</v>
      </c>
      <c r="I67" s="36">
        <f t="shared" si="9"/>
        <v>173643750</v>
      </c>
      <c r="J67" s="36">
        <f t="shared" si="9"/>
        <v>200558531.25</v>
      </c>
      <c r="K67" s="36">
        <f t="shared" si="9"/>
        <v>231645103.59375</v>
      </c>
      <c r="L67" s="36">
        <f t="shared" si="9"/>
        <v>267550094.650781</v>
      </c>
      <c r="M67" s="36">
        <f t="shared" si="9"/>
        <v>309020359.321652</v>
      </c>
      <c r="N67" s="3"/>
    </row>
    <row r="68" spans="3:14">
      <c r="C68" s="38"/>
      <c r="D68" s="3"/>
      <c r="E68" s="3"/>
      <c r="F68" s="3"/>
      <c r="G68" s="38"/>
      <c r="H68" s="3"/>
      <c r="I68" s="3"/>
      <c r="J68" s="3"/>
      <c r="K68" s="3"/>
      <c r="L68" s="3"/>
      <c r="M68" s="3"/>
      <c r="N68" s="3"/>
    </row>
    <row r="69" spans="3:14">
      <c r="C69" s="38"/>
      <c r="D69" s="3"/>
      <c r="E69" s="3"/>
      <c r="F69" s="3"/>
      <c r="G69" s="38"/>
      <c r="H69" s="3"/>
      <c r="I69" s="3"/>
      <c r="J69" s="3"/>
      <c r="K69" s="3"/>
      <c r="L69" s="3"/>
      <c r="M69" s="3"/>
      <c r="N69" s="3"/>
    </row>
    <row r="70" ht="18" spans="3:14">
      <c r="C70" s="37" t="s">
        <v>335</v>
      </c>
      <c r="D70" s="3"/>
      <c r="E70" s="3"/>
      <c r="F70" s="3"/>
      <c r="G70" s="38"/>
      <c r="H70" s="3"/>
      <c r="I70" s="3"/>
      <c r="J70" s="3"/>
      <c r="K70" s="3"/>
      <c r="L70" s="3"/>
      <c r="M70" s="3"/>
      <c r="N70" s="3"/>
    </row>
    <row r="71" spans="3:14">
      <c r="C71" s="38"/>
      <c r="D71" s="3"/>
      <c r="E71" s="3"/>
      <c r="F71" s="3"/>
      <c r="G71" s="38"/>
      <c r="H71" s="3"/>
      <c r="I71" s="3"/>
      <c r="J71" s="3"/>
      <c r="K71" s="3"/>
      <c r="L71" s="3"/>
      <c r="M71" s="3"/>
      <c r="N71" s="3"/>
    </row>
    <row r="72" spans="3:14">
      <c r="C72" s="19"/>
      <c r="D72" s="20">
        <v>2026</v>
      </c>
      <c r="E72" s="20">
        <v>2027</v>
      </c>
      <c r="F72" s="20">
        <v>2028</v>
      </c>
      <c r="G72" s="20">
        <v>2029</v>
      </c>
      <c r="H72" s="20">
        <v>2030</v>
      </c>
      <c r="I72" s="20">
        <v>2031</v>
      </c>
      <c r="J72" s="20">
        <v>2032</v>
      </c>
      <c r="K72" s="20">
        <v>2033</v>
      </c>
      <c r="L72" s="20">
        <v>2034</v>
      </c>
      <c r="M72" s="20">
        <v>2035</v>
      </c>
      <c r="N72" s="3"/>
    </row>
    <row r="73" ht="25" customHeight="1" spans="3:14">
      <c r="C73" s="21" t="s">
        <v>332</v>
      </c>
      <c r="D73" s="22" t="s">
        <v>317</v>
      </c>
      <c r="E73" s="44">
        <f>'2. Control Panel'!$L$12</f>
        <v>0.1</v>
      </c>
      <c r="F73" s="44">
        <f>'2. Control Panel'!$L$12</f>
        <v>0.1</v>
      </c>
      <c r="G73" s="44">
        <f>'2. Control Panel'!$L$12</f>
        <v>0.1</v>
      </c>
      <c r="H73" s="44">
        <f>'2. Control Panel'!$L$12</f>
        <v>0.1</v>
      </c>
      <c r="I73" s="44">
        <f>'2. Control Panel'!$L$12</f>
        <v>0.1</v>
      </c>
      <c r="J73" s="44">
        <f>'2. Control Panel'!$L$12</f>
        <v>0.1</v>
      </c>
      <c r="K73" s="44">
        <f>'2. Control Panel'!$L$12</f>
        <v>0.1</v>
      </c>
      <c r="L73" s="44">
        <f>'2. Control Panel'!$L$12</f>
        <v>0.1</v>
      </c>
      <c r="M73" s="44">
        <f>'2. Control Panel'!$L$12</f>
        <v>0.1</v>
      </c>
      <c r="N73" s="3"/>
    </row>
    <row r="74" ht="25" customHeight="1" spans="3:14">
      <c r="C74" s="25" t="s">
        <v>336</v>
      </c>
      <c r="D74" s="39">
        <f>'2. Control Panel'!$L$41</f>
        <v>0</v>
      </c>
      <c r="E74" s="39">
        <f>D74*(1+E73)</f>
        <v>0</v>
      </c>
      <c r="F74" s="39">
        <f t="shared" ref="F74:H74" si="10">E74*(1+F73)</f>
        <v>0</v>
      </c>
      <c r="G74" s="39">
        <f t="shared" si="10"/>
        <v>0</v>
      </c>
      <c r="H74" s="39">
        <f t="shared" si="10"/>
        <v>0</v>
      </c>
      <c r="I74" s="45">
        <f>IF($H64=0,'2. Control Panel'!L42,H74*(1+I73))</f>
        <v>500</v>
      </c>
      <c r="J74" s="45">
        <f>I74*(1+J73)</f>
        <v>550</v>
      </c>
      <c r="K74" s="45">
        <f t="shared" ref="K74:M74" si="11">J74*(1+K73)</f>
        <v>605</v>
      </c>
      <c r="L74" s="45">
        <f t="shared" si="11"/>
        <v>665.5</v>
      </c>
      <c r="M74" s="45">
        <f t="shared" si="11"/>
        <v>732.05</v>
      </c>
      <c r="N74" s="3"/>
    </row>
    <row r="75" ht="25" customHeight="1" spans="3:14">
      <c r="C75" s="21" t="s">
        <v>325</v>
      </c>
      <c r="D75" s="22">
        <f>'2. Control Panel'!$L$13</f>
        <v>0</v>
      </c>
      <c r="E75" s="22">
        <f>'2. Control Panel'!$L$13</f>
        <v>0</v>
      </c>
      <c r="F75" s="22">
        <f>'2. Control Panel'!$L$13</f>
        <v>0</v>
      </c>
      <c r="G75" s="59">
        <f>'2. Control Panel'!$L$14</f>
        <v>0.05</v>
      </c>
      <c r="H75" s="59">
        <f>'2. Control Panel'!$L$14</f>
        <v>0.05</v>
      </c>
      <c r="I75" s="59">
        <f>'2. Control Panel'!$L$14</f>
        <v>0.05</v>
      </c>
      <c r="J75" s="59">
        <f>'2. Control Panel'!$L$14</f>
        <v>0.05</v>
      </c>
      <c r="K75" s="59">
        <f>'2. Control Panel'!$L$14</f>
        <v>0.05</v>
      </c>
      <c r="L75" s="59">
        <f>'2. Control Panel'!$L$14</f>
        <v>0.05</v>
      </c>
      <c r="M75" s="59">
        <f>'2. Control Panel'!$L$14</f>
        <v>0.05</v>
      </c>
      <c r="N75" s="3"/>
    </row>
    <row r="76" ht="25" customHeight="1" spans="3:14">
      <c r="C76" s="48" t="s">
        <v>337</v>
      </c>
      <c r="D76" s="49">
        <f>'2. Control Panel'!L43</f>
        <v>50000</v>
      </c>
      <c r="E76" s="60">
        <f>D76*(1+E75)</f>
        <v>50000</v>
      </c>
      <c r="F76" s="60">
        <f t="shared" ref="F76:M76" si="12">E76*(1+F75)</f>
        <v>50000</v>
      </c>
      <c r="G76" s="60">
        <f t="shared" si="12"/>
        <v>52500</v>
      </c>
      <c r="H76" s="60">
        <f t="shared" si="12"/>
        <v>55125</v>
      </c>
      <c r="I76" s="60">
        <f t="shared" si="12"/>
        <v>57881.25</v>
      </c>
      <c r="J76" s="60">
        <f t="shared" si="12"/>
        <v>60775.3125</v>
      </c>
      <c r="K76" s="60">
        <f t="shared" si="12"/>
        <v>63814.078125</v>
      </c>
      <c r="L76" s="60">
        <f t="shared" si="12"/>
        <v>67004.78203125</v>
      </c>
      <c r="M76" s="60">
        <f t="shared" si="12"/>
        <v>70355.0211328125</v>
      </c>
      <c r="N76" s="3"/>
    </row>
    <row r="77" ht="25" customHeight="1" spans="3:14">
      <c r="C77" s="35" t="s">
        <v>313</v>
      </c>
      <c r="D77" s="36">
        <f>D74*D76</f>
        <v>0</v>
      </c>
      <c r="E77" s="36">
        <f t="shared" ref="E77:M77" si="13">E74*E76</f>
        <v>0</v>
      </c>
      <c r="F77" s="36">
        <f t="shared" si="13"/>
        <v>0</v>
      </c>
      <c r="G77" s="36">
        <f t="shared" si="13"/>
        <v>0</v>
      </c>
      <c r="H77" s="36">
        <f t="shared" si="13"/>
        <v>0</v>
      </c>
      <c r="I77" s="36">
        <f t="shared" si="13"/>
        <v>28940625</v>
      </c>
      <c r="J77" s="36">
        <f t="shared" si="13"/>
        <v>33426421.875</v>
      </c>
      <c r="K77" s="36">
        <f t="shared" si="13"/>
        <v>38607517.265625</v>
      </c>
      <c r="L77" s="36">
        <f t="shared" si="13"/>
        <v>44591682.4417969</v>
      </c>
      <c r="M77" s="36">
        <f t="shared" si="13"/>
        <v>51503393.2202754</v>
      </c>
      <c r="N77" s="3"/>
    </row>
    <row r="78" spans="3:14">
      <c r="C78" s="38"/>
      <c r="D78" s="3"/>
      <c r="E78" s="3"/>
      <c r="F78" s="3"/>
      <c r="G78" s="38"/>
      <c r="H78" s="3"/>
      <c r="I78" s="3"/>
      <c r="J78" s="3"/>
      <c r="K78" s="3"/>
      <c r="L78" s="3"/>
      <c r="M78" s="3"/>
      <c r="N78" s="3"/>
    </row>
    <row r="79" spans="3:14">
      <c r="C79" s="38"/>
      <c r="D79" s="3"/>
      <c r="E79" s="3"/>
      <c r="F79" s="3"/>
      <c r="G79" s="38"/>
      <c r="H79" s="3"/>
      <c r="I79" s="3"/>
      <c r="J79" s="3"/>
      <c r="K79" s="3"/>
      <c r="L79" s="3"/>
      <c r="M79" s="3"/>
      <c r="N79" s="3"/>
    </row>
    <row r="80" ht="18" spans="3:14">
      <c r="C80" s="37" t="s">
        <v>338</v>
      </c>
      <c r="D80" s="3"/>
      <c r="E80" s="3"/>
      <c r="F80" s="3"/>
      <c r="G80" s="38"/>
      <c r="H80" s="3"/>
      <c r="I80" s="3"/>
      <c r="J80" s="3"/>
      <c r="K80" s="3"/>
      <c r="L80" s="3"/>
      <c r="M80" s="3"/>
      <c r="N80" s="3"/>
    </row>
    <row r="81" spans="3:14">
      <c r="C81" s="38"/>
      <c r="D81" s="3"/>
      <c r="E81" s="3"/>
      <c r="F81" s="3"/>
      <c r="G81" s="38"/>
      <c r="H81" s="3"/>
      <c r="I81" s="3"/>
      <c r="J81" s="3"/>
      <c r="K81" s="3"/>
      <c r="L81" s="3"/>
      <c r="M81" s="3"/>
      <c r="N81" s="3"/>
    </row>
    <row r="82" spans="3:14">
      <c r="C82" s="19"/>
      <c r="D82" s="20">
        <v>2026</v>
      </c>
      <c r="E82" s="20">
        <v>2027</v>
      </c>
      <c r="F82" s="20">
        <v>2028</v>
      </c>
      <c r="G82" s="20">
        <v>2029</v>
      </c>
      <c r="H82" s="20">
        <v>2030</v>
      </c>
      <c r="I82" s="20">
        <v>2031</v>
      </c>
      <c r="J82" s="20">
        <v>2032</v>
      </c>
      <c r="K82" s="20">
        <v>2033</v>
      </c>
      <c r="L82" s="20">
        <v>2034</v>
      </c>
      <c r="M82" s="20">
        <v>2035</v>
      </c>
      <c r="N82" s="3"/>
    </row>
    <row r="83" ht="26" customHeight="1" spans="3:14">
      <c r="C83" s="21" t="s">
        <v>332</v>
      </c>
      <c r="D83" s="22" t="s">
        <v>317</v>
      </c>
      <c r="E83" s="44">
        <f>'2. Control Panel'!$L$12</f>
        <v>0.1</v>
      </c>
      <c r="F83" s="44">
        <f>'2. Control Panel'!$L$12</f>
        <v>0.1</v>
      </c>
      <c r="G83" s="44">
        <f>'2. Control Panel'!$L$12</f>
        <v>0.1</v>
      </c>
      <c r="H83" s="44">
        <f>'2. Control Panel'!$L$12</f>
        <v>0.1</v>
      </c>
      <c r="I83" s="44">
        <f>'2. Control Panel'!$L$12</f>
        <v>0.1</v>
      </c>
      <c r="J83" s="44">
        <f>'2. Control Panel'!$L$12</f>
        <v>0.1</v>
      </c>
      <c r="K83" s="44">
        <f>'2. Control Panel'!$L$12</f>
        <v>0.1</v>
      </c>
      <c r="L83" s="44">
        <f>'2. Control Panel'!$L$12</f>
        <v>0.1</v>
      </c>
      <c r="M83" s="44">
        <f>'2. Control Panel'!$L$12</f>
        <v>0.1</v>
      </c>
      <c r="N83" s="3"/>
    </row>
    <row r="84" ht="26" customHeight="1" spans="3:14">
      <c r="C84" s="25" t="s">
        <v>339</v>
      </c>
      <c r="D84" s="39">
        <f>'2. Control Panel'!$L$44</f>
        <v>0</v>
      </c>
      <c r="E84" s="39">
        <f>D84*(1+E83)</f>
        <v>0</v>
      </c>
      <c r="F84" s="39">
        <f t="shared" ref="F84:H84" si="14">E84*(1+F83)</f>
        <v>0</v>
      </c>
      <c r="G84" s="39">
        <f t="shared" si="14"/>
        <v>0</v>
      </c>
      <c r="H84" s="39">
        <f t="shared" si="14"/>
        <v>0</v>
      </c>
      <c r="I84" s="45">
        <f>IF($H84=0,'2. Control Panel'!L45,H84*(1+I83))</f>
        <v>500</v>
      </c>
      <c r="J84" s="45">
        <f>I84*(1+J83)</f>
        <v>550</v>
      </c>
      <c r="K84" s="45">
        <f t="shared" ref="K84:M84" si="15">J84*(1+K83)</f>
        <v>605</v>
      </c>
      <c r="L84" s="45">
        <f t="shared" si="15"/>
        <v>665.5</v>
      </c>
      <c r="M84" s="45">
        <f t="shared" si="15"/>
        <v>732.05</v>
      </c>
      <c r="N84" s="3"/>
    </row>
    <row r="85" ht="26" customHeight="1" spans="3:14">
      <c r="C85" s="21" t="s">
        <v>325</v>
      </c>
      <c r="D85" s="22">
        <f>'2. Control Panel'!$L$13</f>
        <v>0</v>
      </c>
      <c r="E85" s="22">
        <f>'2. Control Panel'!$L$13</f>
        <v>0</v>
      </c>
      <c r="F85" s="22">
        <f>'2. Control Panel'!$L$13</f>
        <v>0</v>
      </c>
      <c r="G85" s="59">
        <f>'2. Control Panel'!$L$14</f>
        <v>0.05</v>
      </c>
      <c r="H85" s="59">
        <f>'2. Control Panel'!$L$14</f>
        <v>0.05</v>
      </c>
      <c r="I85" s="59">
        <f>'2. Control Panel'!$L$14</f>
        <v>0.05</v>
      </c>
      <c r="J85" s="59">
        <f>'2. Control Panel'!$L$14</f>
        <v>0.05</v>
      </c>
      <c r="K85" s="59">
        <f>'2. Control Panel'!$L$14</f>
        <v>0.05</v>
      </c>
      <c r="L85" s="59">
        <f>'2. Control Panel'!$L$14</f>
        <v>0.05</v>
      </c>
      <c r="M85" s="59">
        <f>'2. Control Panel'!$L$14</f>
        <v>0.05</v>
      </c>
      <c r="N85" s="3"/>
    </row>
    <row r="86" ht="26" customHeight="1" spans="3:14">
      <c r="C86" s="48" t="s">
        <v>340</v>
      </c>
      <c r="D86" s="49">
        <f>'2. Control Panel'!L46</f>
        <v>100000</v>
      </c>
      <c r="E86" s="60">
        <f>D86*(1+E85)</f>
        <v>100000</v>
      </c>
      <c r="F86" s="60">
        <f t="shared" ref="F86:M86" si="16">E86*(1+F85)</f>
        <v>100000</v>
      </c>
      <c r="G86" s="60">
        <f t="shared" si="16"/>
        <v>105000</v>
      </c>
      <c r="H86" s="60">
        <f t="shared" si="16"/>
        <v>110250</v>
      </c>
      <c r="I86" s="60">
        <f t="shared" si="16"/>
        <v>115762.5</v>
      </c>
      <c r="J86" s="60">
        <f t="shared" si="16"/>
        <v>121550.625</v>
      </c>
      <c r="K86" s="60">
        <f t="shared" si="16"/>
        <v>127628.15625</v>
      </c>
      <c r="L86" s="60">
        <f t="shared" si="16"/>
        <v>134009.5640625</v>
      </c>
      <c r="M86" s="60">
        <f t="shared" si="16"/>
        <v>140710.042265625</v>
      </c>
      <c r="N86" s="3"/>
    </row>
    <row r="87" ht="26" customHeight="1" spans="3:14">
      <c r="C87" s="35" t="s">
        <v>313</v>
      </c>
      <c r="D87" s="36">
        <f>D84*D86</f>
        <v>0</v>
      </c>
      <c r="E87" s="36">
        <f t="shared" ref="E87:M87" si="17">E84*E86</f>
        <v>0</v>
      </c>
      <c r="F87" s="36">
        <f t="shared" si="17"/>
        <v>0</v>
      </c>
      <c r="G87" s="36">
        <f t="shared" si="17"/>
        <v>0</v>
      </c>
      <c r="H87" s="36">
        <f t="shared" si="17"/>
        <v>0</v>
      </c>
      <c r="I87" s="36">
        <f t="shared" si="17"/>
        <v>57881250</v>
      </c>
      <c r="J87" s="36">
        <f t="shared" si="17"/>
        <v>66852843.75</v>
      </c>
      <c r="K87" s="36">
        <f t="shared" si="17"/>
        <v>77215034.53125</v>
      </c>
      <c r="L87" s="36">
        <f t="shared" si="17"/>
        <v>89183364.8835938</v>
      </c>
      <c r="M87" s="36">
        <f t="shared" si="17"/>
        <v>103006786.440551</v>
      </c>
      <c r="N87" s="3"/>
    </row>
    <row r="88" spans="3:14">
      <c r="C88" s="38"/>
      <c r="D88" s="3"/>
      <c r="E88" s="3"/>
      <c r="F88" s="3"/>
      <c r="G88" s="38"/>
      <c r="H88" s="3"/>
      <c r="I88" s="3"/>
      <c r="J88" s="3"/>
      <c r="K88" s="3"/>
      <c r="L88" s="3"/>
      <c r="M88" s="3"/>
      <c r="N88" s="3"/>
    </row>
    <row r="89" spans="3:14">
      <c r="C89" s="38"/>
      <c r="D89" s="3"/>
      <c r="E89" s="3"/>
      <c r="F89" s="3"/>
      <c r="G89" s="38"/>
      <c r="H89" s="3"/>
      <c r="I89" s="3"/>
      <c r="J89" s="3"/>
      <c r="K89" s="3"/>
      <c r="L89" s="3"/>
      <c r="M89" s="3"/>
      <c r="N89" s="3"/>
    </row>
    <row r="90" ht="18" spans="3:14">
      <c r="C90" s="37" t="s">
        <v>341</v>
      </c>
      <c r="D90" s="3"/>
      <c r="E90" s="3"/>
      <c r="F90" s="3"/>
      <c r="G90" s="38"/>
      <c r="H90" s="3"/>
      <c r="I90" s="3"/>
      <c r="J90" s="3"/>
      <c r="K90" s="3"/>
      <c r="L90" s="3"/>
      <c r="M90" s="3"/>
      <c r="N90" s="3"/>
    </row>
    <row r="91" spans="3:14">
      <c r="C91" s="38"/>
      <c r="D91" s="3"/>
      <c r="E91" s="3"/>
      <c r="F91" s="3"/>
      <c r="G91" s="38"/>
      <c r="H91" s="3"/>
      <c r="I91" s="3"/>
      <c r="J91" s="3"/>
      <c r="K91" s="3"/>
      <c r="L91" s="3"/>
      <c r="M91" s="3"/>
      <c r="N91" s="3"/>
    </row>
    <row r="92" spans="3:14">
      <c r="C92" s="19"/>
      <c r="D92" s="20">
        <v>2026</v>
      </c>
      <c r="E92" s="20">
        <v>2027</v>
      </c>
      <c r="F92" s="20">
        <v>2028</v>
      </c>
      <c r="G92" s="20">
        <v>2029</v>
      </c>
      <c r="H92" s="20">
        <v>2030</v>
      </c>
      <c r="I92" s="20">
        <v>2031</v>
      </c>
      <c r="J92" s="20">
        <v>2032</v>
      </c>
      <c r="K92" s="20">
        <v>2033</v>
      </c>
      <c r="L92" s="20">
        <v>2034</v>
      </c>
      <c r="M92" s="20">
        <v>2035</v>
      </c>
      <c r="N92" s="3"/>
    </row>
    <row r="93" ht="26" customHeight="1" spans="3:14">
      <c r="C93" s="21" t="s">
        <v>332</v>
      </c>
      <c r="D93" s="22" t="s">
        <v>317</v>
      </c>
      <c r="E93" s="44">
        <f>'2. Control Panel'!$L$12</f>
        <v>0.1</v>
      </c>
      <c r="F93" s="44">
        <f>'2. Control Panel'!$L$12</f>
        <v>0.1</v>
      </c>
      <c r="G93" s="44">
        <f>'2. Control Panel'!$L$12</f>
        <v>0.1</v>
      </c>
      <c r="H93" s="44">
        <f>'2. Control Panel'!$L$12</f>
        <v>0.1</v>
      </c>
      <c r="I93" s="44">
        <f>'2. Control Panel'!$L$12</f>
        <v>0.1</v>
      </c>
      <c r="J93" s="44">
        <f>'2. Control Panel'!$L$12</f>
        <v>0.1</v>
      </c>
      <c r="K93" s="44">
        <f>'2. Control Panel'!$L$12</f>
        <v>0.1</v>
      </c>
      <c r="L93" s="44">
        <f>'2. Control Panel'!$L$12</f>
        <v>0.1</v>
      </c>
      <c r="M93" s="44">
        <f>'2. Control Panel'!$L$12</f>
        <v>0.1</v>
      </c>
      <c r="N93" s="3"/>
    </row>
    <row r="94" ht="26" customHeight="1" spans="3:14">
      <c r="C94" s="25" t="s">
        <v>342</v>
      </c>
      <c r="D94" s="39">
        <f>'2. Control Panel'!$L$47</f>
        <v>0</v>
      </c>
      <c r="E94" s="39">
        <f>D94*(1+E93)</f>
        <v>0</v>
      </c>
      <c r="F94" s="39">
        <f t="shared" ref="F94:H94" si="18">E94*(1+F93)</f>
        <v>0</v>
      </c>
      <c r="G94" s="39">
        <f t="shared" si="18"/>
        <v>0</v>
      </c>
      <c r="H94" s="39">
        <f t="shared" si="18"/>
        <v>0</v>
      </c>
      <c r="I94" s="45">
        <f>IF($H94=0,'2. Control Panel'!L48,H94*(1+I93))</f>
        <v>50</v>
      </c>
      <c r="J94" s="45">
        <f>I94*(1+J93)</f>
        <v>55</v>
      </c>
      <c r="K94" s="45">
        <f t="shared" ref="K94:M94" si="19">J94*(1+K93)</f>
        <v>60.5</v>
      </c>
      <c r="L94" s="45">
        <f t="shared" si="19"/>
        <v>66.55</v>
      </c>
      <c r="M94" s="45">
        <f t="shared" si="19"/>
        <v>73.205</v>
      </c>
      <c r="N94" s="3"/>
    </row>
    <row r="95" ht="26" customHeight="1" spans="3:14">
      <c r="C95" s="21" t="s">
        <v>325</v>
      </c>
      <c r="D95" s="22">
        <f>'2. Control Panel'!$L$13</f>
        <v>0</v>
      </c>
      <c r="E95" s="22">
        <f>'2. Control Panel'!$L$13</f>
        <v>0</v>
      </c>
      <c r="F95" s="22">
        <f>'2. Control Panel'!$L$13</f>
        <v>0</v>
      </c>
      <c r="G95" s="59">
        <f>'2. Control Panel'!$L$14</f>
        <v>0.05</v>
      </c>
      <c r="H95" s="59">
        <f>'2. Control Panel'!$L$14</f>
        <v>0.05</v>
      </c>
      <c r="I95" s="59">
        <f>'2. Control Panel'!$L$14</f>
        <v>0.05</v>
      </c>
      <c r="J95" s="59">
        <f>'2. Control Panel'!$L$14</f>
        <v>0.05</v>
      </c>
      <c r="K95" s="59">
        <f>'2. Control Panel'!$L$14</f>
        <v>0.05</v>
      </c>
      <c r="L95" s="59">
        <f>'2. Control Panel'!$L$14</f>
        <v>0.05</v>
      </c>
      <c r="M95" s="59">
        <f>'2. Control Panel'!$L$14</f>
        <v>0.05</v>
      </c>
      <c r="N95" s="3"/>
    </row>
    <row r="96" ht="26" customHeight="1" spans="3:14">
      <c r="C96" s="48" t="s">
        <v>343</v>
      </c>
      <c r="D96" s="49">
        <f>'2. Control Panel'!L49</f>
        <v>10000</v>
      </c>
      <c r="E96" s="60">
        <f>D96*(1+E95)</f>
        <v>10000</v>
      </c>
      <c r="F96" s="60">
        <f t="shared" ref="F96:M96" si="20">E96*(1+F95)</f>
        <v>10000</v>
      </c>
      <c r="G96" s="60">
        <f t="shared" si="20"/>
        <v>10500</v>
      </c>
      <c r="H96" s="60">
        <f t="shared" si="20"/>
        <v>11025</v>
      </c>
      <c r="I96" s="60">
        <f t="shared" si="20"/>
        <v>11576.25</v>
      </c>
      <c r="J96" s="60">
        <f t="shared" si="20"/>
        <v>12155.0625</v>
      </c>
      <c r="K96" s="60">
        <f t="shared" si="20"/>
        <v>12762.815625</v>
      </c>
      <c r="L96" s="60">
        <f t="shared" si="20"/>
        <v>13400.95640625</v>
      </c>
      <c r="M96" s="60">
        <f t="shared" si="20"/>
        <v>14071.0042265625</v>
      </c>
      <c r="N96" s="3"/>
    </row>
    <row r="97" ht="26" customHeight="1" spans="3:14">
      <c r="C97" s="35" t="s">
        <v>313</v>
      </c>
      <c r="D97" s="36">
        <f>D94*D96</f>
        <v>0</v>
      </c>
      <c r="E97" s="36">
        <f t="shared" ref="E97:M97" si="21">E94*E96</f>
        <v>0</v>
      </c>
      <c r="F97" s="36">
        <f t="shared" si="21"/>
        <v>0</v>
      </c>
      <c r="G97" s="36">
        <f t="shared" si="21"/>
        <v>0</v>
      </c>
      <c r="H97" s="36">
        <f t="shared" si="21"/>
        <v>0</v>
      </c>
      <c r="I97" s="36">
        <f t="shared" si="21"/>
        <v>578812.5</v>
      </c>
      <c r="J97" s="36">
        <f t="shared" si="21"/>
        <v>668528.4375</v>
      </c>
      <c r="K97" s="36">
        <f t="shared" si="21"/>
        <v>772150.3453125</v>
      </c>
      <c r="L97" s="36">
        <f t="shared" si="21"/>
        <v>891833.648835938</v>
      </c>
      <c r="M97" s="36">
        <f t="shared" si="21"/>
        <v>1030067.86440551</v>
      </c>
      <c r="N97" s="3"/>
    </row>
    <row r="98" spans="3:14">
      <c r="C98" s="38"/>
      <c r="D98" s="3"/>
      <c r="E98" s="3"/>
      <c r="F98" s="3"/>
      <c r="G98" s="38"/>
      <c r="H98" s="3"/>
      <c r="I98" s="3"/>
      <c r="J98" s="3"/>
      <c r="K98" s="3"/>
      <c r="L98" s="3"/>
      <c r="M98" s="3"/>
      <c r="N98" s="3"/>
    </row>
    <row r="99" spans="3:14">
      <c r="C99" s="38"/>
      <c r="D99" s="3"/>
      <c r="E99" s="3"/>
      <c r="F99" s="3"/>
      <c r="G99" s="38"/>
      <c r="H99" s="3"/>
      <c r="I99" s="3"/>
      <c r="J99" s="3"/>
      <c r="K99" s="3"/>
      <c r="L99" s="3"/>
      <c r="M99" s="3"/>
      <c r="N99" s="3"/>
    </row>
    <row r="100" ht="18" spans="3:14">
      <c r="C100" s="37" t="s">
        <v>344</v>
      </c>
      <c r="D100" s="3"/>
      <c r="E100" s="3"/>
      <c r="F100" s="3"/>
      <c r="G100" s="38"/>
      <c r="H100" s="3"/>
      <c r="I100" s="3"/>
      <c r="J100" s="3"/>
      <c r="K100" s="3"/>
      <c r="L100" s="3"/>
      <c r="M100" s="3"/>
      <c r="N100" s="3"/>
    </row>
    <row r="101" spans="3:14">
      <c r="C101" s="38"/>
      <c r="D101" s="3"/>
      <c r="E101" s="3"/>
      <c r="F101" s="3"/>
      <c r="G101" s="38"/>
      <c r="H101" s="3"/>
      <c r="I101" s="3"/>
      <c r="J101" s="3"/>
      <c r="K101" s="3"/>
      <c r="L101" s="3"/>
      <c r="M101" s="3"/>
      <c r="N101" s="3"/>
    </row>
    <row r="102" spans="3:14">
      <c r="C102" s="19"/>
      <c r="D102" s="20">
        <v>2026</v>
      </c>
      <c r="E102" s="20">
        <v>2027</v>
      </c>
      <c r="F102" s="20">
        <v>2028</v>
      </c>
      <c r="G102" s="20">
        <v>2029</v>
      </c>
      <c r="H102" s="20">
        <v>2030</v>
      </c>
      <c r="I102" s="20">
        <v>2031</v>
      </c>
      <c r="J102" s="20">
        <v>2032</v>
      </c>
      <c r="K102" s="20">
        <v>2033</v>
      </c>
      <c r="L102" s="20">
        <v>2034</v>
      </c>
      <c r="M102" s="20">
        <v>2035</v>
      </c>
      <c r="N102" s="3"/>
    </row>
    <row r="103" ht="30" customHeight="1" spans="3:14">
      <c r="C103" s="21" t="s">
        <v>332</v>
      </c>
      <c r="D103" s="22" t="s">
        <v>317</v>
      </c>
      <c r="E103" s="44">
        <f>'2. Control Panel'!$L$12</f>
        <v>0.1</v>
      </c>
      <c r="F103" s="44">
        <f>'2. Control Panel'!$L$12</f>
        <v>0.1</v>
      </c>
      <c r="G103" s="44">
        <f>'2. Control Panel'!$L$12</f>
        <v>0.1</v>
      </c>
      <c r="H103" s="44">
        <f>'2. Control Panel'!$L$12</f>
        <v>0.1</v>
      </c>
      <c r="I103" s="44">
        <f>'2. Control Panel'!$L$12</f>
        <v>0.1</v>
      </c>
      <c r="J103" s="44">
        <f>'2. Control Panel'!$L$12</f>
        <v>0.1</v>
      </c>
      <c r="K103" s="44">
        <f>'2. Control Panel'!$L$12</f>
        <v>0.1</v>
      </c>
      <c r="L103" s="44">
        <f>'2. Control Panel'!$L$12</f>
        <v>0.1</v>
      </c>
      <c r="M103" s="44">
        <f>'2. Control Panel'!$L$12</f>
        <v>0.1</v>
      </c>
      <c r="N103" s="3"/>
    </row>
    <row r="104" ht="30" customHeight="1" spans="3:14">
      <c r="C104" s="25" t="s">
        <v>345</v>
      </c>
      <c r="D104" s="39">
        <f>'2. Control Panel'!L50</f>
        <v>0</v>
      </c>
      <c r="E104" s="61">
        <f>D104*(1+E103)</f>
        <v>0</v>
      </c>
      <c r="F104" s="61">
        <f t="shared" ref="F104:H104" si="22">E104*(1+F103)</f>
        <v>0</v>
      </c>
      <c r="G104" s="61">
        <f t="shared" si="22"/>
        <v>0</v>
      </c>
      <c r="H104" s="61">
        <f t="shared" si="22"/>
        <v>0</v>
      </c>
      <c r="I104" s="45">
        <f>IF($H104=0,'2. Control Panel'!L51,H104*(1+I103))</f>
        <v>10</v>
      </c>
      <c r="J104" s="45">
        <f>I104*(1+J103)</f>
        <v>11</v>
      </c>
      <c r="K104" s="45">
        <f t="shared" ref="K104:M104" si="23">J104*(1+K103)</f>
        <v>12.1</v>
      </c>
      <c r="L104" s="45">
        <f t="shared" si="23"/>
        <v>13.31</v>
      </c>
      <c r="M104" s="45">
        <f t="shared" si="23"/>
        <v>14.641</v>
      </c>
      <c r="N104" s="3"/>
    </row>
    <row r="105" ht="30" customHeight="1" spans="3:14">
      <c r="C105" s="21" t="s">
        <v>325</v>
      </c>
      <c r="D105" s="22">
        <f>'2. Control Panel'!$L$13</f>
        <v>0</v>
      </c>
      <c r="E105" s="22">
        <f>'2. Control Panel'!$L$13</f>
        <v>0</v>
      </c>
      <c r="F105" s="22">
        <f>'2. Control Panel'!$L$13</f>
        <v>0</v>
      </c>
      <c r="G105" s="59">
        <f>'2. Control Panel'!$L$14</f>
        <v>0.05</v>
      </c>
      <c r="H105" s="59">
        <f>'2. Control Panel'!$L$14</f>
        <v>0.05</v>
      </c>
      <c r="I105" s="59">
        <f>'2. Control Panel'!$L$14</f>
        <v>0.05</v>
      </c>
      <c r="J105" s="59">
        <f>'2. Control Panel'!$L$14</f>
        <v>0.05</v>
      </c>
      <c r="K105" s="59">
        <f>'2. Control Panel'!$L$14</f>
        <v>0.05</v>
      </c>
      <c r="L105" s="59">
        <f>'2. Control Panel'!$L$14</f>
        <v>0.05</v>
      </c>
      <c r="M105" s="59">
        <f>'2. Control Panel'!$L$14</f>
        <v>0.05</v>
      </c>
      <c r="N105" s="3"/>
    </row>
    <row r="106" ht="30" customHeight="1" spans="3:14">
      <c r="C106" s="48" t="s">
        <v>346</v>
      </c>
      <c r="D106" s="49">
        <f>'2. Control Panel'!L52</f>
        <v>30000</v>
      </c>
      <c r="E106" s="60">
        <f>D106*(1+E105)</f>
        <v>30000</v>
      </c>
      <c r="F106" s="60">
        <f t="shared" ref="F106:M106" si="24">E106*(1+F105)</f>
        <v>30000</v>
      </c>
      <c r="G106" s="60">
        <f t="shared" si="24"/>
        <v>31500</v>
      </c>
      <c r="H106" s="60">
        <f t="shared" si="24"/>
        <v>33075</v>
      </c>
      <c r="I106" s="60">
        <f t="shared" si="24"/>
        <v>34728.75</v>
      </c>
      <c r="J106" s="60">
        <f t="shared" si="24"/>
        <v>36465.1875</v>
      </c>
      <c r="K106" s="60">
        <f t="shared" si="24"/>
        <v>38288.446875</v>
      </c>
      <c r="L106" s="60">
        <f t="shared" si="24"/>
        <v>40202.86921875</v>
      </c>
      <c r="M106" s="60">
        <f t="shared" si="24"/>
        <v>42213.0126796875</v>
      </c>
      <c r="N106" s="3"/>
    </row>
    <row r="107" ht="30" customHeight="1" spans="3:14">
      <c r="C107" s="35" t="s">
        <v>313</v>
      </c>
      <c r="D107" s="36">
        <f>D104*D106</f>
        <v>0</v>
      </c>
      <c r="E107" s="36">
        <f t="shared" ref="E107:M107" si="25">E104*E106</f>
        <v>0</v>
      </c>
      <c r="F107" s="36">
        <f t="shared" si="25"/>
        <v>0</v>
      </c>
      <c r="G107" s="36">
        <f t="shared" si="25"/>
        <v>0</v>
      </c>
      <c r="H107" s="36">
        <f t="shared" si="25"/>
        <v>0</v>
      </c>
      <c r="I107" s="36">
        <f t="shared" si="25"/>
        <v>347287.5</v>
      </c>
      <c r="J107" s="36">
        <f t="shared" si="25"/>
        <v>401117.0625</v>
      </c>
      <c r="K107" s="36">
        <f t="shared" si="25"/>
        <v>463290.2071875</v>
      </c>
      <c r="L107" s="36">
        <f t="shared" si="25"/>
        <v>535100.189301563</v>
      </c>
      <c r="M107" s="36">
        <f t="shared" si="25"/>
        <v>618040.718643305</v>
      </c>
      <c r="N107" s="3"/>
    </row>
    <row r="108" spans="3:14">
      <c r="C108" s="38"/>
      <c r="D108" s="3"/>
      <c r="E108" s="3"/>
      <c r="F108" s="3"/>
      <c r="G108" s="38"/>
      <c r="H108" s="3"/>
      <c r="I108" s="3"/>
      <c r="J108" s="3"/>
      <c r="K108" s="3"/>
      <c r="L108" s="3"/>
      <c r="M108" s="3"/>
      <c r="N108" s="3"/>
    </row>
    <row r="109" spans="3:14">
      <c r="C109" s="38"/>
      <c r="D109" s="3"/>
      <c r="E109" s="3"/>
      <c r="F109" s="3"/>
      <c r="G109" s="38"/>
      <c r="H109" s="3"/>
      <c r="I109" s="3"/>
      <c r="J109" s="3"/>
      <c r="K109" s="3"/>
      <c r="L109" s="3"/>
      <c r="M109" s="3"/>
      <c r="N109" s="3"/>
    </row>
    <row r="110" spans="3:14">
      <c r="C110" s="38"/>
      <c r="D110" s="3"/>
      <c r="E110" s="3"/>
      <c r="F110" s="3"/>
      <c r="G110" s="38"/>
      <c r="H110" s="3"/>
      <c r="I110" s="3"/>
      <c r="J110" s="3"/>
      <c r="K110" s="3"/>
      <c r="L110" s="3"/>
      <c r="M110" s="3"/>
      <c r="N110" s="3"/>
    </row>
    <row r="113" ht="24" spans="3:3">
      <c r="C113" s="13" t="s">
        <v>184</v>
      </c>
    </row>
    <row r="115" ht="17.6" spans="3:13">
      <c r="C115" s="37"/>
      <c r="D115" s="3"/>
      <c r="E115" s="3"/>
      <c r="F115" s="3"/>
      <c r="G115" s="38"/>
      <c r="H115" s="3"/>
      <c r="I115" s="3"/>
      <c r="J115" s="3"/>
      <c r="K115" s="3"/>
      <c r="L115" s="3"/>
      <c r="M115" s="3"/>
    </row>
    <row r="116" ht="34" spans="3:13">
      <c r="C116" s="38"/>
      <c r="D116" s="50" t="s">
        <v>45</v>
      </c>
      <c r="E116" s="62"/>
      <c r="F116" s="63" t="s">
        <v>48</v>
      </c>
      <c r="G116" s="63"/>
      <c r="H116" s="50" t="s">
        <v>347</v>
      </c>
      <c r="I116" s="50"/>
      <c r="J116" s="50"/>
      <c r="K116" s="3"/>
      <c r="L116" s="3"/>
      <c r="M116" s="3"/>
    </row>
    <row r="117" ht="23" customHeight="1" spans="3:13">
      <c r="C117" s="19"/>
      <c r="D117" s="20">
        <v>2026</v>
      </c>
      <c r="E117" s="20">
        <v>2027</v>
      </c>
      <c r="F117" s="20">
        <v>2028</v>
      </c>
      <c r="G117" s="20">
        <v>2029</v>
      </c>
      <c r="H117" s="20">
        <v>2030</v>
      </c>
      <c r="I117" s="20">
        <v>2031</v>
      </c>
      <c r="J117" s="20">
        <v>2032</v>
      </c>
      <c r="K117" s="20">
        <v>2033</v>
      </c>
      <c r="L117" s="20">
        <v>2034</v>
      </c>
      <c r="M117" s="20">
        <v>2035</v>
      </c>
    </row>
    <row r="118" ht="23" customHeight="1" spans="3:13">
      <c r="C118" s="51" t="s">
        <v>285</v>
      </c>
      <c r="D118" s="52"/>
      <c r="E118" s="52"/>
      <c r="F118" s="52"/>
      <c r="G118" s="52"/>
      <c r="H118" s="52"/>
      <c r="I118" s="52"/>
      <c r="J118" s="52"/>
      <c r="K118" s="52"/>
      <c r="L118" s="52"/>
      <c r="M118" s="52"/>
    </row>
    <row r="119" ht="23" customHeight="1" spans="3:14">
      <c r="C119" s="53" t="s">
        <v>348</v>
      </c>
      <c r="D119" s="22">
        <f>'2. Control Panel'!$L$55</f>
        <v>0.05</v>
      </c>
      <c r="E119" s="22">
        <f>'2. Control Panel'!$L$55</f>
        <v>0.05</v>
      </c>
      <c r="F119" s="22">
        <f>'2. Control Panel'!$L$55</f>
        <v>0.05</v>
      </c>
      <c r="G119" s="22">
        <f>'2. Control Panel'!$L$55</f>
        <v>0.05</v>
      </c>
      <c r="H119" s="22">
        <f>'2. Control Panel'!$L$55</f>
        <v>0.05</v>
      </c>
      <c r="I119" s="22">
        <f>'2. Control Panel'!$L$55</f>
        <v>0.05</v>
      </c>
      <c r="J119" s="22">
        <f>'2. Control Panel'!$L$55</f>
        <v>0.05</v>
      </c>
      <c r="K119" s="22">
        <f>'2. Control Panel'!$L$55</f>
        <v>0.05</v>
      </c>
      <c r="L119" s="22">
        <f>'2. Control Panel'!$L$55</f>
        <v>0.05</v>
      </c>
      <c r="M119" s="22">
        <f>'2. Control Panel'!$L$55</f>
        <v>0.05</v>
      </c>
      <c r="N119" s="66" t="s">
        <v>349</v>
      </c>
    </row>
    <row r="120" ht="23" customHeight="1" spans="3:13">
      <c r="C120" s="54" t="s">
        <v>350</v>
      </c>
      <c r="D120" s="55">
        <f>('2. Control Panel'!L57*'2. Control Panel'!L65)+('2. Control Panel'!L58*'2. Control Panel'!L66)+('2. Control Panel'!L59*'2. Control Panel'!L67)+('2. Control Panel'!L60*'2. Control Panel'!L68)+('2. Control Panel'!L61*'2. Control Panel'!L69)+('2. Control Panel'!L62*'2. Control Panel'!L70)</f>
        <v>1980000</v>
      </c>
      <c r="E120" s="64">
        <f>D120*(1+E119)</f>
        <v>2079000</v>
      </c>
      <c r="F120" s="64">
        <f>E120+('2. Control Panel'!L76*'2. Control Panel'!L77*(1+SUM(E119:F119)))</f>
        <v>2849000</v>
      </c>
      <c r="G120" s="64">
        <f>F120*(1+G119)</f>
        <v>2991450</v>
      </c>
      <c r="H120" s="64">
        <f>G120+('2. Control Panel'!L86*'2. Control Panel'!L87*(1+SUM('4.1 Revenue &amp; Cost Breakdown'!E119:H119)))</f>
        <v>6351450</v>
      </c>
      <c r="I120" s="64">
        <f>H120*(1+I119)</f>
        <v>6669022.5</v>
      </c>
      <c r="J120" s="64">
        <f t="shared" ref="J120:M120" si="26">I120*(1+J119)</f>
        <v>7002473.625</v>
      </c>
      <c r="K120" s="64">
        <f t="shared" si="26"/>
        <v>7352597.30625</v>
      </c>
      <c r="L120" s="64">
        <f t="shared" si="26"/>
        <v>7720227.1715625</v>
      </c>
      <c r="M120" s="64">
        <f t="shared" si="26"/>
        <v>8106238.53014063</v>
      </c>
    </row>
    <row r="121" ht="23" customHeight="1" spans="3:14">
      <c r="C121" s="54" t="s">
        <v>351</v>
      </c>
      <c r="D121" s="56">
        <f>'2. Control Panel'!$L$78</f>
        <v>0.05</v>
      </c>
      <c r="E121" s="56">
        <f>'2. Control Panel'!$L$78</f>
        <v>0.05</v>
      </c>
      <c r="F121" s="56">
        <f>'2. Control Panel'!$L$78</f>
        <v>0.05</v>
      </c>
      <c r="G121" s="56">
        <f>'2. Control Panel'!$L$78</f>
        <v>0.05</v>
      </c>
      <c r="H121" s="56">
        <f>'2. Control Panel'!$L$78</f>
        <v>0.05</v>
      </c>
      <c r="I121" s="56">
        <f>'2. Control Panel'!$L$78</f>
        <v>0.05</v>
      </c>
      <c r="J121" s="56">
        <f>'2. Control Panel'!$L$78</f>
        <v>0.05</v>
      </c>
      <c r="K121" s="56">
        <f>'2. Control Panel'!$L$78</f>
        <v>0.05</v>
      </c>
      <c r="L121" s="56">
        <f>'2. Control Panel'!$L$78</f>
        <v>0.05</v>
      </c>
      <c r="M121" s="56">
        <f>'2. Control Panel'!$L$78</f>
        <v>0.05</v>
      </c>
      <c r="N121" s="66" t="s">
        <v>352</v>
      </c>
    </row>
    <row r="122" ht="23" customHeight="1" spans="3:13">
      <c r="C122" s="54"/>
      <c r="D122" s="57">
        <f>'2. Control Panel'!L63*'2. Control Panel'!L71</f>
        <v>270000</v>
      </c>
      <c r="E122" s="65">
        <f>D122*(1+(E121+E119))</f>
        <v>297000</v>
      </c>
      <c r="F122" s="65">
        <f t="shared" ref="F122:M122" si="27">E122*(1+(F121+F119))</f>
        <v>326700</v>
      </c>
      <c r="G122" s="65">
        <f t="shared" si="27"/>
        <v>359370</v>
      </c>
      <c r="H122" s="65">
        <f t="shared" si="27"/>
        <v>395307</v>
      </c>
      <c r="I122" s="65">
        <f t="shared" si="27"/>
        <v>434837.7</v>
      </c>
      <c r="J122" s="65">
        <f t="shared" si="27"/>
        <v>478321.47</v>
      </c>
      <c r="K122" s="65">
        <f t="shared" si="27"/>
        <v>526153.617</v>
      </c>
      <c r="L122" s="65">
        <f t="shared" si="27"/>
        <v>578768.9787</v>
      </c>
      <c r="M122" s="65">
        <f t="shared" si="27"/>
        <v>636645.876570001</v>
      </c>
    </row>
    <row r="123" ht="23" customHeight="1" spans="3:14">
      <c r="C123" s="54" t="s">
        <v>353</v>
      </c>
      <c r="D123" s="58"/>
      <c r="E123" s="58"/>
      <c r="F123" s="58"/>
      <c r="G123" s="56">
        <f>'2. Control Panel'!$L$81</f>
        <v>0.1</v>
      </c>
      <c r="H123" s="56">
        <f>'2. Control Panel'!$L$81</f>
        <v>0.1</v>
      </c>
      <c r="I123" s="56">
        <f>'2. Control Panel'!$L$81</f>
        <v>0.1</v>
      </c>
      <c r="J123" s="56">
        <f>'2. Control Panel'!$L$81</f>
        <v>0.1</v>
      </c>
      <c r="K123" s="56">
        <f>'2. Control Panel'!$L$81</f>
        <v>0.1</v>
      </c>
      <c r="L123" s="56">
        <f>'2. Control Panel'!$L$81</f>
        <v>0.1</v>
      </c>
      <c r="M123" s="56">
        <f>'2. Control Panel'!$L$81</f>
        <v>0.1</v>
      </c>
      <c r="N123" s="66" t="s">
        <v>354</v>
      </c>
    </row>
    <row r="124" ht="30" customHeight="1" spans="3:13">
      <c r="C124" s="54"/>
      <c r="D124" s="58"/>
      <c r="E124" s="58"/>
      <c r="F124" s="65">
        <f>'2. Control Panel'!L79*'2. Control Panel'!L80</f>
        <v>1200000</v>
      </c>
      <c r="G124" s="65">
        <f>F124*(1+G123)</f>
        <v>1320000</v>
      </c>
      <c r="H124" s="65">
        <f t="shared" ref="H124:M124" si="28">G124*(1+H123)</f>
        <v>1452000</v>
      </c>
      <c r="I124" s="65">
        <f t="shared" si="28"/>
        <v>1597200</v>
      </c>
      <c r="J124" s="65">
        <f t="shared" si="28"/>
        <v>1756920</v>
      </c>
      <c r="K124" s="65">
        <f t="shared" si="28"/>
        <v>1932612</v>
      </c>
      <c r="L124" s="65">
        <f t="shared" si="28"/>
        <v>2125873.2</v>
      </c>
      <c r="M124" s="65">
        <f t="shared" si="28"/>
        <v>2338460.52</v>
      </c>
    </row>
    <row r="125" ht="30" customHeight="1" spans="3:13">
      <c r="C125" s="54" t="s">
        <v>355</v>
      </c>
      <c r="D125" s="56">
        <f>$D$119</f>
        <v>0.05</v>
      </c>
      <c r="E125" s="56">
        <f>$D$119</f>
        <v>0.05</v>
      </c>
      <c r="F125" s="56">
        <f>'2. Control Panel'!$L$83</f>
        <v>0.08</v>
      </c>
      <c r="G125" s="56">
        <f>'2. Control Panel'!$L$83</f>
        <v>0.08</v>
      </c>
      <c r="H125" s="56">
        <f>'2. Control Panel'!$L$83</f>
        <v>0.08</v>
      </c>
      <c r="I125" s="56">
        <f>'2. Control Panel'!$L$83</f>
        <v>0.08</v>
      </c>
      <c r="J125" s="56">
        <f>'2. Control Panel'!$L$83</f>
        <v>0.08</v>
      </c>
      <c r="K125" s="56">
        <f>'2. Control Panel'!$L$83</f>
        <v>0.08</v>
      </c>
      <c r="L125" s="56">
        <f>'2. Control Panel'!$L$83</f>
        <v>0.08</v>
      </c>
      <c r="M125" s="56">
        <f>'2. Control Panel'!$L$83</f>
        <v>0.08</v>
      </c>
    </row>
    <row r="126" ht="23" customHeight="1" spans="3:13">
      <c r="C126" s="54"/>
      <c r="D126" s="55">
        <f>'2. Control Panel'!L64*'2. Control Panel'!L72</f>
        <v>600000</v>
      </c>
      <c r="E126" s="55">
        <f>D126*(1+E125)</f>
        <v>630000</v>
      </c>
      <c r="F126" s="55">
        <f>'2. Control Panel'!L64*'2. Control Panel'!L82</f>
        <v>720000</v>
      </c>
      <c r="G126" s="55">
        <f>F126*(1+G125)</f>
        <v>777600</v>
      </c>
      <c r="H126" s="55">
        <f t="shared" ref="H126:M126" si="29">G126*(1+H125)</f>
        <v>839808</v>
      </c>
      <c r="I126" s="55">
        <f t="shared" si="29"/>
        <v>906992.64</v>
      </c>
      <c r="J126" s="55">
        <f t="shared" si="29"/>
        <v>979552.0512</v>
      </c>
      <c r="K126" s="55">
        <f t="shared" si="29"/>
        <v>1057916.215296</v>
      </c>
      <c r="L126" s="55">
        <f t="shared" si="29"/>
        <v>1142549.51251968</v>
      </c>
      <c r="M126" s="55">
        <f t="shared" si="29"/>
        <v>1233953.47352125</v>
      </c>
    </row>
    <row r="127" ht="23" customHeight="1" spans="3:14">
      <c r="C127" s="25" t="s">
        <v>356</v>
      </c>
      <c r="D127" s="22">
        <f>'2. Control Panel'!$L$54</f>
        <v>0.15</v>
      </c>
      <c r="E127" s="22">
        <f>'2. Control Panel'!$L$54</f>
        <v>0.15</v>
      </c>
      <c r="F127" s="22">
        <f>'2. Control Panel'!$L$54</f>
        <v>0.15</v>
      </c>
      <c r="G127" s="22">
        <f>'2. Control Panel'!$L$54</f>
        <v>0.15</v>
      </c>
      <c r="H127" s="22">
        <f>'2. Control Panel'!$L$54</f>
        <v>0.15</v>
      </c>
      <c r="I127" s="22">
        <f>'2. Control Panel'!$L$54</f>
        <v>0.15</v>
      </c>
      <c r="J127" s="22">
        <f>'2. Control Panel'!$L$54</f>
        <v>0.15</v>
      </c>
      <c r="K127" s="22">
        <f>'2. Control Panel'!$L$54</f>
        <v>0.15</v>
      </c>
      <c r="L127" s="22">
        <f>'2. Control Panel'!$L$54</f>
        <v>0.15</v>
      </c>
      <c r="M127" s="22">
        <f>'2. Control Panel'!$L$54</f>
        <v>0.15</v>
      </c>
      <c r="N127" s="66" t="s">
        <v>357</v>
      </c>
    </row>
    <row r="128" ht="23" customHeight="1" spans="3:13">
      <c r="C128" s="4"/>
      <c r="D128" s="55">
        <f>'2. Control Panel'!L73</f>
        <v>25000</v>
      </c>
      <c r="E128" s="55">
        <f>D128*(1+E127)</f>
        <v>28750</v>
      </c>
      <c r="F128" s="55">
        <f t="shared" ref="F128:M128" si="30">E128*(1+F127)</f>
        <v>33062.5</v>
      </c>
      <c r="G128" s="55">
        <f t="shared" si="30"/>
        <v>38021.875</v>
      </c>
      <c r="H128" s="55">
        <f t="shared" si="30"/>
        <v>43725.15625</v>
      </c>
      <c r="I128" s="55">
        <f t="shared" si="30"/>
        <v>50283.9296875</v>
      </c>
      <c r="J128" s="55">
        <f t="shared" si="30"/>
        <v>57826.519140625</v>
      </c>
      <c r="K128" s="55">
        <f t="shared" si="30"/>
        <v>66500.4970117187</v>
      </c>
      <c r="L128" s="55">
        <f t="shared" si="30"/>
        <v>76475.5715634765</v>
      </c>
      <c r="M128" s="55">
        <f t="shared" si="30"/>
        <v>87946.907297998</v>
      </c>
    </row>
    <row r="129" ht="23" customHeight="1" spans="3:14">
      <c r="C129" s="25" t="s">
        <v>358</v>
      </c>
      <c r="D129" s="22">
        <f>'2. Control Panel'!$L$56</f>
        <v>0.15</v>
      </c>
      <c r="E129" s="22">
        <f>'2. Control Panel'!$L$56</f>
        <v>0.15</v>
      </c>
      <c r="F129" s="22">
        <f>'2. Control Panel'!$L$56</f>
        <v>0.15</v>
      </c>
      <c r="G129" s="22">
        <f>'2. Control Panel'!$L$56</f>
        <v>0.15</v>
      </c>
      <c r="H129" s="22">
        <f>'2. Control Panel'!$L$56</f>
        <v>0.15</v>
      </c>
      <c r="I129" s="22">
        <f>'2. Control Panel'!$L$56</f>
        <v>0.15</v>
      </c>
      <c r="J129" s="22">
        <f>'2. Control Panel'!$L$56</f>
        <v>0.15</v>
      </c>
      <c r="K129" s="22">
        <f>'2. Control Panel'!$L$56</f>
        <v>0.15</v>
      </c>
      <c r="L129" s="22">
        <f>'2. Control Panel'!$L$56</f>
        <v>0.15</v>
      </c>
      <c r="M129" s="22">
        <f>'2. Control Panel'!$L$56</f>
        <v>0.15</v>
      </c>
      <c r="N129" s="66" t="s">
        <v>359</v>
      </c>
    </row>
    <row r="130" ht="23" customHeight="1" spans="3:13">
      <c r="C130" s="25"/>
      <c r="D130" s="55">
        <f>'2. Control Panel'!L75</f>
        <v>100000</v>
      </c>
      <c r="E130" s="55">
        <f>D130*(1+E129)</f>
        <v>115000</v>
      </c>
      <c r="F130" s="55">
        <f t="shared" ref="F130:M130" si="31">E130*(1+F129)</f>
        <v>132250</v>
      </c>
      <c r="G130" s="55">
        <f t="shared" si="31"/>
        <v>152087.5</v>
      </c>
      <c r="H130" s="55">
        <f t="shared" si="31"/>
        <v>174900.625</v>
      </c>
      <c r="I130" s="55">
        <f t="shared" si="31"/>
        <v>201135.71875</v>
      </c>
      <c r="J130" s="55">
        <f t="shared" si="31"/>
        <v>231306.0765625</v>
      </c>
      <c r="K130" s="55">
        <f t="shared" si="31"/>
        <v>266001.988046875</v>
      </c>
      <c r="L130" s="55">
        <f t="shared" si="31"/>
        <v>305902.286253906</v>
      </c>
      <c r="M130" s="55">
        <f t="shared" si="31"/>
        <v>351787.629191992</v>
      </c>
    </row>
    <row r="131" ht="23" customHeight="1" spans="3:14">
      <c r="C131" s="67" t="s">
        <v>360</v>
      </c>
      <c r="D131" s="68">
        <f>'2. Control Panel'!$L$53</f>
        <v>0.2</v>
      </c>
      <c r="E131" s="68">
        <f>'2. Control Panel'!$L$53</f>
        <v>0.2</v>
      </c>
      <c r="F131" s="68">
        <f>'2. Control Panel'!$L$53</f>
        <v>0.2</v>
      </c>
      <c r="G131" s="68">
        <f>'2. Control Panel'!$L$53</f>
        <v>0.2</v>
      </c>
      <c r="H131" s="68">
        <f>'2. Control Panel'!$L$53</f>
        <v>0.2</v>
      </c>
      <c r="I131" s="68">
        <f>'2. Control Panel'!$L$53</f>
        <v>0.2</v>
      </c>
      <c r="J131" s="68">
        <f>'2. Control Panel'!$L$53</f>
        <v>0.2</v>
      </c>
      <c r="K131" s="68">
        <f>'2. Control Panel'!$L$53</f>
        <v>0.2</v>
      </c>
      <c r="L131" s="68">
        <f>'2. Control Panel'!$L$53</f>
        <v>0.2</v>
      </c>
      <c r="M131" s="68">
        <f>'2. Control Panel'!$L$53</f>
        <v>0.2</v>
      </c>
      <c r="N131" s="66" t="s">
        <v>361</v>
      </c>
    </row>
    <row r="132" ht="23" customHeight="1" spans="3:13">
      <c r="C132" s="67"/>
      <c r="D132" s="57">
        <f>'2. Control Panel'!L74</f>
        <v>50000</v>
      </c>
      <c r="E132" s="74">
        <f>D132*(1+E131)</f>
        <v>60000</v>
      </c>
      <c r="F132" s="74">
        <f t="shared" ref="F132:M132" si="32">E132*(1+F131)</f>
        <v>72000</v>
      </c>
      <c r="G132" s="74">
        <f t="shared" si="32"/>
        <v>86400</v>
      </c>
      <c r="H132" s="74">
        <f t="shared" si="32"/>
        <v>103680</v>
      </c>
      <c r="I132" s="74">
        <f t="shared" si="32"/>
        <v>124416</v>
      </c>
      <c r="J132" s="74">
        <f t="shared" si="32"/>
        <v>149299.2</v>
      </c>
      <c r="K132" s="74">
        <f t="shared" si="32"/>
        <v>179159.04</v>
      </c>
      <c r="L132" s="74">
        <f t="shared" si="32"/>
        <v>214990.848</v>
      </c>
      <c r="M132" s="74">
        <f t="shared" si="32"/>
        <v>257989.0176</v>
      </c>
    </row>
    <row r="133" ht="23" customHeight="1" spans="3:14">
      <c r="C133" s="67" t="s">
        <v>362</v>
      </c>
      <c r="D133" s="69"/>
      <c r="E133" s="69"/>
      <c r="F133" s="69"/>
      <c r="G133" s="68">
        <f>'2. Control Panel'!$L$85</f>
        <v>0.15</v>
      </c>
      <c r="H133" s="68">
        <f>'2. Control Panel'!$L$85</f>
        <v>0.15</v>
      </c>
      <c r="I133" s="68">
        <f>'2. Control Panel'!$L$85</f>
        <v>0.15</v>
      </c>
      <c r="J133" s="68">
        <f>'2. Control Panel'!$L$85</f>
        <v>0.15</v>
      </c>
      <c r="K133" s="68">
        <f>'2. Control Panel'!$L$85</f>
        <v>0.15</v>
      </c>
      <c r="L133" s="68">
        <f>'2. Control Panel'!$L$85</f>
        <v>0.15</v>
      </c>
      <c r="M133" s="68">
        <f>'2. Control Panel'!$L$85</f>
        <v>0.15</v>
      </c>
      <c r="N133" s="66" t="s">
        <v>363</v>
      </c>
    </row>
    <row r="134" ht="23" customHeight="1" spans="3:13">
      <c r="C134" s="67"/>
      <c r="D134" s="70"/>
      <c r="E134" s="75"/>
      <c r="F134" s="74">
        <f>'2. Control Panel'!L84</f>
        <v>25000</v>
      </c>
      <c r="G134" s="74">
        <f>F134*(1+G133)</f>
        <v>28750</v>
      </c>
      <c r="H134" s="74">
        <f t="shared" ref="H134:M134" si="33">G134*(1+H133)</f>
        <v>33062.5</v>
      </c>
      <c r="I134" s="74">
        <f t="shared" si="33"/>
        <v>38021.875</v>
      </c>
      <c r="J134" s="74">
        <f t="shared" si="33"/>
        <v>43725.15625</v>
      </c>
      <c r="K134" s="74">
        <f t="shared" si="33"/>
        <v>50283.9296875</v>
      </c>
      <c r="L134" s="74">
        <f t="shared" si="33"/>
        <v>57826.519140625</v>
      </c>
      <c r="M134" s="74">
        <f t="shared" si="33"/>
        <v>66500.4970117187</v>
      </c>
    </row>
    <row r="135" ht="23" customHeight="1" spans="3:13">
      <c r="C135" s="71" t="s">
        <v>291</v>
      </c>
      <c r="D135" s="72"/>
      <c r="E135" s="76"/>
      <c r="F135" s="76"/>
      <c r="G135" s="76"/>
      <c r="H135" s="76"/>
      <c r="I135" s="76"/>
      <c r="J135" s="76"/>
      <c r="K135" s="65"/>
      <c r="L135" s="65"/>
      <c r="M135" s="65"/>
    </row>
    <row r="136" ht="27" customHeight="1" spans="3:13">
      <c r="C136" s="48" t="s">
        <v>292</v>
      </c>
      <c r="D136" s="73"/>
      <c r="E136" s="77"/>
      <c r="F136" s="77"/>
      <c r="G136" s="77"/>
      <c r="H136" s="77"/>
      <c r="I136" s="77"/>
      <c r="J136" s="77"/>
      <c r="K136" s="78">
        <f>'2. Control Panel'!$L$88</f>
        <v>500000</v>
      </c>
      <c r="L136" s="78">
        <f>'2. Control Panel'!$L$88</f>
        <v>500000</v>
      </c>
      <c r="M136" s="78">
        <f>'2. Control Panel'!$L$88</f>
        <v>500000</v>
      </c>
    </row>
    <row r="137" ht="29" customHeight="1" spans="3:13">
      <c r="C137" s="35" t="s">
        <v>234</v>
      </c>
      <c r="D137" s="36">
        <f>SUM(D120,D122,D124,D126,D128,D130,D132,D134,D136)</f>
        <v>3025000</v>
      </c>
      <c r="E137" s="36">
        <f t="shared" ref="E137:M137" si="34">SUM(E120,E122,E124,E126,E128,E130,E132,E134,E136)</f>
        <v>3209750</v>
      </c>
      <c r="F137" s="36">
        <f t="shared" si="34"/>
        <v>5358012.5</v>
      </c>
      <c r="G137" s="36">
        <f t="shared" si="34"/>
        <v>5753679.375</v>
      </c>
      <c r="H137" s="36">
        <f t="shared" si="34"/>
        <v>9393933.28125</v>
      </c>
      <c r="I137" s="36">
        <f t="shared" si="34"/>
        <v>10021910.3634375</v>
      </c>
      <c r="J137" s="36">
        <f t="shared" si="34"/>
        <v>10699424.0981531</v>
      </c>
      <c r="K137" s="36">
        <f t="shared" si="34"/>
        <v>11931224.5932921</v>
      </c>
      <c r="L137" s="36">
        <f t="shared" si="34"/>
        <v>12722614.0877402</v>
      </c>
      <c r="M137" s="36">
        <f t="shared" si="34"/>
        <v>13579522.4513336</v>
      </c>
    </row>
  </sheetData>
  <mergeCells count="8">
    <mergeCell ref="D2:H2"/>
    <mergeCell ref="D3:H3"/>
    <mergeCell ref="D4:H4"/>
    <mergeCell ref="D5:H5"/>
    <mergeCell ref="D40:E40"/>
    <mergeCell ref="C121:C122"/>
    <mergeCell ref="C123:C124"/>
    <mergeCell ref="C125:C126"/>
  </mergeCells>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workbookViewId="0">
      <selection activeCell="A1" sqref="A1"/>
    </sheetView>
  </sheetViews>
  <sheetFormatPr defaultColWidth="8.83035714285714" defaultRowHeight="16.8"/>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workbookViewId="0">
      <selection activeCell="A1" sqref="A1"/>
    </sheetView>
  </sheetViews>
  <sheetFormatPr defaultColWidth="8.83035714285714" defaultRowHeight="16.8" outlineLevelRow="3"/>
  <cols>
    <col min="1" max="1" width="36.6607142857143" customWidth="1"/>
  </cols>
  <sheetData>
    <row r="1" spans="1:1">
      <c r="A1" t="s">
        <v>67</v>
      </c>
    </row>
    <row r="2" spans="1:1">
      <c r="A2" t="s">
        <v>364</v>
      </c>
    </row>
    <row r="3" spans="1:1">
      <c r="A3" t="s">
        <v>365</v>
      </c>
    </row>
    <row r="4" spans="1:1">
      <c r="A4" t="s">
        <v>366</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showGridLines="0" workbookViewId="0">
      <selection activeCell="A1" sqref="A1"/>
    </sheetView>
  </sheetViews>
  <sheetFormatPr defaultColWidth="8.83035714285714" defaultRowHeight="16.8" outlineLevelRow="5"/>
  <cols>
    <col min="1" max="1" width="28.1607142857143" customWidth="1"/>
  </cols>
  <sheetData>
    <row r="1" spans="1:1">
      <c r="A1" t="s">
        <v>184</v>
      </c>
    </row>
    <row r="2" spans="1:1">
      <c r="A2" t="s">
        <v>367</v>
      </c>
    </row>
    <row r="3" spans="1:1">
      <c r="A3" t="s">
        <v>368</v>
      </c>
    </row>
    <row r="4" spans="1:1">
      <c r="A4" t="s">
        <v>369</v>
      </c>
    </row>
    <row r="5" spans="1:1">
      <c r="A5" t="s">
        <v>370</v>
      </c>
    </row>
    <row r="6" spans="1:1">
      <c r="A6" t="s">
        <v>371</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workbookViewId="0">
      <selection activeCell="A1" sqref="A1"/>
    </sheetView>
  </sheetViews>
  <sheetFormatPr defaultColWidth="8.83035714285714" defaultRowHeight="16.8" outlineLevelRow="3"/>
  <cols>
    <col min="1" max="1" width="25.5" customWidth="1"/>
  </cols>
  <sheetData>
    <row r="1" ht="17" spans="1:1">
      <c r="A1" s="1" t="s">
        <v>372</v>
      </c>
    </row>
    <row r="2" ht="17" spans="1:1">
      <c r="A2" s="2" t="s">
        <v>373</v>
      </c>
    </row>
    <row r="3" spans="1:1">
      <c r="A3" t="s">
        <v>374</v>
      </c>
    </row>
    <row r="4" spans="1:1">
      <c r="A4" t="s">
        <v>375</v>
      </c>
    </row>
  </sheetData>
  <pageMargins left="0.7" right="0.7" top="0.75" bottom="0.75" header="0.3" footer="0.3"/>
  <pageSetup paperSize="1" orientation="portrait"/>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894B469-3808-49D6-83BD-E39FB14DCF5D}">
  <ds:schemaRefs/>
</ds:datastoreItem>
</file>

<file path=customXml/itemProps2.xml><?xml version="1.0" encoding="utf-8"?>
<ds:datastoreItem xmlns:ds="http://schemas.openxmlformats.org/officeDocument/2006/customXml" ds:itemID="{06C1C5D0-DBEA-439B-A081-14DE8C3F81E1}">
  <ds:schemaRefs/>
</ds:datastoreItem>
</file>

<file path=customXml/itemProps3.xml><?xml version="1.0" encoding="utf-8"?>
<ds:datastoreItem xmlns:ds="http://schemas.openxmlformats.org/officeDocument/2006/customXml" ds:itemID="{E9C73899-9971-41FC-BC2E-78A6AAD6A07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0. Overview &amp; Table of Contents</vt:lpstr>
      <vt:lpstr>1. Instructions &amp; Definitions</vt:lpstr>
      <vt:lpstr>2. Control Panel</vt:lpstr>
      <vt:lpstr>3. Market Sizing Summary</vt:lpstr>
      <vt:lpstr>3.1 Market Sizing Breakdown</vt:lpstr>
      <vt:lpstr>4. Financial Projection Summary</vt:lpstr>
      <vt:lpstr>4.1 Revenue &amp; Cost Breakdown</vt:lpstr>
      <vt:lpstr>Formatting (IGNORE) --&gt;</vt:lpstr>
      <vt:lpstr>Rev_L1 Drop Down</vt:lpstr>
      <vt:lpstr>Costs_L1 Drop Down</vt:lpstr>
      <vt:lpstr>Scenario Planning_Drop 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dc:title>
  <dc:creator>Anderson, Mac</dc:creator>
  <cp:lastModifiedBy>Aaron Wang</cp:lastModifiedBy>
  <dcterms:created xsi:type="dcterms:W3CDTF">2015-06-07T18:17:00Z</dcterms:created>
  <dcterms:modified xsi:type="dcterms:W3CDTF">2026-04-27T13:26:05Z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0x010100791D3D941620A94998132F2F5CDF9796</vt:lpwstr>
  </property>
  <property fmtid="{D5CDD505-2E9C-101B-9397-08002B2CF9AE}" pid="3" name="MediaServiceImageTags">
    <vt:lpwstr/>
  </property>
  <property fmtid="{D5CDD505-2E9C-101B-9397-08002B2CF9AE}" pid="4" name="ICV">
    <vt:lpwstr>32FB265022E50BE888357B69C187AFB2_43</vt:lpwstr>
  </property>
  <property fmtid="{D5CDD505-2E9C-101B-9397-08002B2CF9AE}" pid="5" name="KSOProductBuildVer">
    <vt:lpwstr>2052-6.1.0.8274</vt:lpwstr>
  </property>
</Properties>
</file>